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5044fcb76f610f1/Documents/Projects/Research_Works_LLM/Research_Works/"/>
    </mc:Choice>
  </mc:AlternateContent>
  <xr:revisionPtr revIDLastSave="1" documentId="11_E057718870697EFA311589570CCF0E69FDC9A268" xr6:coauthVersionLast="47" xr6:coauthVersionMax="47" xr10:uidLastSave="{C7F67FA1-7140-4EED-AD8F-DD244EEFDB3F}"/>
  <bookViews>
    <workbookView xWindow="-120" yWindow="-120" windowWidth="29040" windowHeight="16440" tabRatio="500" activeTab="2" xr2:uid="{00000000-000D-0000-FFFF-FFFF00000000}"/>
  </bookViews>
  <sheets>
    <sheet name="00_README" sheetId="1" r:id="rId1"/>
    <sheet name="01_Model Information" sheetId="2" r:id="rId2"/>
    <sheet name="02_Hardware Configuration" sheetId="3" r:id="rId3"/>
    <sheet name="03_Quantization Methods" sheetId="4" r:id="rId4"/>
    <sheet name="04_Quantization Config" sheetId="5" r:id="rId5"/>
    <sheet name="05_Baseline Performance" sheetId="6" r:id="rId6"/>
    <sheet name="06_Model Size Comparison" sheetId="7" r:id="rId7"/>
    <sheet name="07_Memory Usage Comparison" sheetId="8" r:id="rId8"/>
    <sheet name="08_Inference Speed" sheetId="9" r:id="rId9"/>
    <sheet name="09_Latency &amp; TTFT" sheetId="10" r:id="rId10"/>
    <sheet name="10_Prefill vs Decode" sheetId="11" r:id="rId11"/>
    <sheet name="11_Perplexity Comparison" sheetId="12" r:id="rId12"/>
    <sheet name="12_Task Accuracy" sheetId="13" r:id="rId13"/>
    <sheet name="13_Quality Retention" sheetId="14" r:id="rId14"/>
    <sheet name="14_Quantization Error" sheetId="15" r:id="rId15"/>
    <sheet name="15_Layer-wise Sensitivity" sheetId="16" r:id="rId16"/>
    <sheet name="16_Activation Analysis" sheetId="17" r:id="rId17"/>
    <sheet name="17_Weight &amp; Outlier Analysis" sheetId="18" r:id="rId18"/>
    <sheet name="18_Group Size Comparison" sheetId="19" r:id="rId19"/>
    <sheet name="19_Calibration Comparison" sheetId="20" r:id="rId20"/>
    <sheet name="20_Context Length Perf" sheetId="21" r:id="rId21"/>
    <sheet name="21_KV Cache Memory" sheetId="22" r:id="rId22"/>
    <sheet name="22_GPU Utilization" sheetId="23" r:id="rId23"/>
    <sheet name="23_CPU &amp; RAM Utilization" sheetId="24" r:id="rId24"/>
    <sheet name="24_Power Consumption" sheetId="25" r:id="rId25"/>
    <sheet name="25_Energy per Token" sheetId="26" r:id="rId26"/>
    <sheet name="26_Thermal Performance" sheetId="27" r:id="rId27"/>
    <sheet name="27_Accuracy-Memory Tradeoff" sheetId="28" r:id="rId28"/>
    <sheet name="28_Accuracy-Latency Tradeoff" sheetId="29" r:id="rId29"/>
    <sheet name="29_Quality-Efficiency" sheetId="30" r:id="rId30"/>
    <sheet name="30_Pareto Analysis" sheetId="31" r:id="rId31"/>
    <sheet name="31_Experiment Log" sheetId="32" r:id="rId32"/>
    <sheet name="32_Benchmark Summary" sheetId="33" r:id="rId33"/>
    <sheet name="33_Method Comparison" sheetId="34" r:id="rId34"/>
    <sheet name="34_Research Gap" sheetId="35" r:id="rId35"/>
    <sheet name="35_Research Ideas" sheetId="36" r:id="rId36"/>
    <sheet name="36_Literature Review" sheetId="37" r:id="rId37"/>
    <sheet name="37_Final Results" sheetId="38" r:id="rId38"/>
  </sheets>
  <definedNames>
    <definedName name="_xlnm._FilterDatabase" localSheetId="1" hidden="1">'01_Model Information'!$A$1:$Q$1</definedName>
    <definedName name="_xlnm._FilterDatabase" localSheetId="2" hidden="1">'02_Hardware Configuration'!$A$1:$O$1</definedName>
    <definedName name="_xlnm._FilterDatabase" localSheetId="3" hidden="1">'03_Quantization Methods'!$A$1:$Q$1</definedName>
    <definedName name="_xlnm._FilterDatabase" localSheetId="4" hidden="1">'04_Quantization Config'!$A$1:$P$1</definedName>
    <definedName name="_xlnm._FilterDatabase" localSheetId="5" hidden="1">'05_Baseline Performance'!$A$1:$R$1</definedName>
    <definedName name="_xlnm._FilterDatabase" localSheetId="6" hidden="1">'06_Model Size Comparison'!$A$1:$J$1</definedName>
    <definedName name="_xlnm._FilterDatabase" localSheetId="7" hidden="1">'07_Memory Usage Comparison'!$A$1:$K$1</definedName>
    <definedName name="_xlnm._FilterDatabase" localSheetId="8" hidden="1">'08_Inference Speed'!$A$1:$L$1</definedName>
    <definedName name="_xlnm._FilterDatabase" localSheetId="9" hidden="1">'09_Latency &amp; TTFT'!$A$1:$L$1</definedName>
    <definedName name="_xlnm._FilterDatabase" localSheetId="10" hidden="1">'10_Prefill vs Decode'!$A$1:$N$1</definedName>
    <definedName name="_xlnm._FilterDatabase" localSheetId="11" hidden="1">'11_Perplexity Comparison'!$A$1:$L$1</definedName>
    <definedName name="_xlnm._FilterDatabase" localSheetId="12" hidden="1">'12_Task Accuracy'!$A$1:$L$1</definedName>
    <definedName name="_xlnm._FilterDatabase" localSheetId="13" hidden="1">'13_Quality Retention'!$A$1:$J$1</definedName>
    <definedName name="_xlnm._FilterDatabase" localSheetId="14" hidden="1">'14_Quantization Error'!$A$1:$O$1</definedName>
    <definedName name="_xlnm._FilterDatabase" localSheetId="15" hidden="1">'15_Layer-wise Sensitivity'!$A$1:$M$1</definedName>
    <definedName name="_xlnm._FilterDatabase" localSheetId="16" hidden="1">'16_Activation Analysis'!$A$1:$O$1</definedName>
    <definedName name="_xlnm._FilterDatabase" localSheetId="17" hidden="1">'17_Weight &amp; Outlier Analysis'!$A$1:$P$1</definedName>
    <definedName name="_xlnm._FilterDatabase" localSheetId="18" hidden="1">'18_Group Size Comparison'!$A$1:$N$1</definedName>
    <definedName name="_xlnm._FilterDatabase" localSheetId="19" hidden="1">'19_Calibration Comparison'!$A$1:$N$1</definedName>
    <definedName name="_xlnm._FilterDatabase" localSheetId="20" hidden="1">'20_Context Length Perf'!$A$1:$O$1</definedName>
    <definedName name="_xlnm._FilterDatabase" localSheetId="21" hidden="1">'21_KV Cache Memory'!$A$1:$M$1</definedName>
    <definedName name="_xlnm._FilterDatabase" localSheetId="22" hidden="1">'22_GPU Utilization'!$A$1:$L$1</definedName>
    <definedName name="_xlnm._FilterDatabase" localSheetId="23" hidden="1">'23_CPU &amp; RAM Utilization'!$A$1:$M$1</definedName>
    <definedName name="_xlnm._FilterDatabase" localSheetId="24" hidden="1">'24_Power Consumption'!$A$1:$L$1</definedName>
    <definedName name="_xlnm._FilterDatabase" localSheetId="25" hidden="1">'25_Energy per Token'!$A$1:$K$1</definedName>
    <definedName name="_xlnm._FilterDatabase" localSheetId="26" hidden="1">'26_Thermal Performance'!$A$1:$N$1</definedName>
    <definedName name="_xlnm._FilterDatabase" localSheetId="27" hidden="1">'27_Accuracy-Memory Tradeoff'!$A$1:$J$1</definedName>
    <definedName name="_xlnm._FilterDatabase" localSheetId="28" hidden="1">'28_Accuracy-Latency Tradeoff'!$A$1:$J$1</definedName>
    <definedName name="_xlnm._FilterDatabase" localSheetId="29" hidden="1">'29_Quality-Efficiency'!$A$1:$J$1</definedName>
    <definedName name="_xlnm._FilterDatabase" localSheetId="30" hidden="1">'30_Pareto Analysis'!$A$1:$L$1</definedName>
    <definedName name="_xlnm._FilterDatabase" localSheetId="31" hidden="1">'31_Experiment Log'!$A$1:$S$1</definedName>
    <definedName name="_xlnm._FilterDatabase" localSheetId="32" hidden="1">'32_Benchmark Summary'!$A$1:$N$1</definedName>
    <definedName name="_xlnm._FilterDatabase" localSheetId="33" hidden="1">'33_Method Comparison'!$A$1:$J$1</definedName>
    <definedName name="_xlnm._FilterDatabase" localSheetId="34" hidden="1">'34_Research Gap'!$A$1:$M$1</definedName>
    <definedName name="_xlnm._FilterDatabase" localSheetId="35" hidden="1">'35_Research Ideas'!$A$1:$L$1</definedName>
    <definedName name="_xlnm._FilterDatabase" localSheetId="36" hidden="1">'36_Literature Review'!$A$1:$U$1</definedName>
    <definedName name="_xlnm._FilterDatabase" localSheetId="37" hidden="1">'37_Final Results'!$A$1:$U$1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38" l="1"/>
  <c r="I2" i="30"/>
  <c r="J2" i="28"/>
  <c r="N2" i="27"/>
  <c r="I2" i="26"/>
  <c r="F2" i="26"/>
  <c r="K2" i="26" s="1"/>
  <c r="I2" i="25"/>
  <c r="K2" i="25" s="1"/>
  <c r="G2" i="24"/>
  <c r="K2" i="16"/>
  <c r="G2" i="16"/>
  <c r="N2" i="15"/>
  <c r="K2" i="15"/>
  <c r="G2" i="14"/>
  <c r="J2" i="14" s="1"/>
  <c r="F2" i="14"/>
  <c r="I2" i="13"/>
  <c r="L2" i="13" s="1"/>
  <c r="K2" i="12"/>
  <c r="J2" i="12"/>
  <c r="J2" i="11"/>
  <c r="H2" i="11"/>
  <c r="L2" i="10"/>
  <c r="F2" i="10"/>
  <c r="J2" i="9"/>
  <c r="I2" i="8"/>
  <c r="J2" i="7"/>
  <c r="G2" i="7"/>
  <c r="F2" i="7"/>
  <c r="K2" i="13" l="1"/>
</calcChain>
</file>

<file path=xl/sharedStrings.xml><?xml version="1.0" encoding="utf-8"?>
<sst xmlns="http://schemas.openxmlformats.org/spreadsheetml/2006/main" count="764" uniqueCount="449">
  <si>
    <t>LLM Quantization Research Workbook</t>
  </si>
  <si>
    <t>How to use</t>
  </si>
  <si>
    <t>Row 1 of every sheet</t>
  </si>
  <si>
    <t>Column headers (dark blue). Do not rename - other sheets and your scripts key off them.</t>
  </si>
  <si>
    <t>Row 2 of every sheet</t>
  </si>
  <si>
    <t>EXAMPLE row, shown in grey italics. Delete it before logging real data, or overwrite it.</t>
  </si>
  <si>
    <t>Row 3 onward</t>
  </si>
  <si>
    <t>Your data. One row per experiment / layer / tensor / paper, depending on the sheet.</t>
  </si>
  <si>
    <t>Grey italic cells</t>
  </si>
  <si>
    <t>Example values only - illustrative, not measured.</t>
  </si>
  <si>
    <t>Formula cells in row 2</t>
  </si>
  <si>
    <t>Derived columns already carry a formula. Copy row 2 down to keep them.</t>
  </si>
  <si>
    <t>Experiment ID</t>
  </si>
  <si>
    <t>The join key across sheets. Use EXP-001, EXP-002, ... and never reuse one.</t>
  </si>
  <si>
    <t>Model ID</t>
  </si>
  <si>
    <t>The join key into 01_Model Information. Use M01, M02, ...</t>
  </si>
  <si>
    <t>Units (assumed throughout - change them if you prefer, but stay consistent)</t>
  </si>
  <si>
    <t>Sizes, memory, VRAM, RAM, KV cache</t>
  </si>
  <si>
    <t>GB</t>
  </si>
  <si>
    <t>Times: TTFT, latency, load time, prefill/decode time, runtime</t>
  </si>
  <si>
    <t>seconds</t>
  </si>
  <si>
    <t>Throughput</t>
  </si>
  <si>
    <t>tokens per second</t>
  </si>
  <si>
    <t>Power</t>
  </si>
  <si>
    <t>watts</t>
  </si>
  <si>
    <t>Energy</t>
  </si>
  <si>
    <t>watt-hours (Wh); energy per token = Wh / token</t>
  </si>
  <si>
    <t>Temperature</t>
  </si>
  <si>
    <t>degrees Celsius</t>
  </si>
  <si>
    <t>Percentages and ratios</t>
  </si>
  <si>
    <t>stored as fractions - 0.61 renders as 61.0%</t>
  </si>
  <si>
    <t>Suggested build order (from your plan)</t>
  </si>
  <si>
    <t>Phase 1 - start here</t>
  </si>
  <si>
    <t>Sheets 01-12 plus 31_Experiment Log and 36_Literature Review</t>
  </si>
  <si>
    <t>Phase 2 - once results exist</t>
  </si>
  <si>
    <t>14, 15, 16, 17, 18, 19, 21, 24, 25, 26, 30, 34, 37</t>
  </si>
  <si>
    <t>Most important for finding a new method</t>
  </si>
  <si>
    <t>31_Experiment Log, 15_Layer-wise Sensitivity, 14_Quantization Error, 17_Weight &amp; Outlier Analysis, 34_Research Gap, 36_Literature Review</t>
  </si>
  <si>
    <t>Note on 33_Method Comparison</t>
  </si>
  <si>
    <t>Built one method per row (RTN, GPTQ, AWQ, SmoothQuant, ...), as your plan recommends.</t>
  </si>
  <si>
    <t>Model Name</t>
  </si>
  <si>
    <t>Model Family</t>
  </si>
  <si>
    <t>Version</t>
  </si>
  <si>
    <t>Parameters</t>
  </si>
  <si>
    <t>Architecture</t>
  </si>
  <si>
    <t>Layers</t>
  </si>
  <si>
    <t>Hidden Size</t>
  </si>
  <si>
    <t>Attention Heads</t>
  </si>
  <si>
    <t>KV Heads</t>
  </si>
  <si>
    <t>Context Length</t>
  </si>
  <si>
    <t>Vocabulary Size</t>
  </si>
  <si>
    <t>Base / Instruct</t>
  </si>
  <si>
    <t>License</t>
  </si>
  <si>
    <t>Source URL</t>
  </si>
  <si>
    <t>Local Path</t>
  </si>
  <si>
    <t>Notes</t>
  </si>
  <si>
    <t>M01</t>
  </si>
  <si>
    <t>Llama-3.1-8B-Instruct</t>
  </si>
  <si>
    <t>Llama 3.1</t>
  </si>
  <si>
    <t>3.1</t>
  </si>
  <si>
    <t>Decoder-only Transformer</t>
  </si>
  <si>
    <t>Instruct</t>
  </si>
  <si>
    <t>Llama 3.1 Community</t>
  </si>
  <si>
    <t>https://huggingface.co/meta-llama/Llama-3.1-8B-Instruct</t>
  </si>
  <si>
    <t>/models/llama-3.1-8b-instruct</t>
  </si>
  <si>
    <t>GQA, 8 KV heads -&gt; small KV cache</t>
  </si>
  <si>
    <t>Experiment Date</t>
  </si>
  <si>
    <t>CPU</t>
  </si>
  <si>
    <t>CPU Cores</t>
  </si>
  <si>
    <t>System RAM</t>
  </si>
  <si>
    <t>GPU</t>
  </si>
  <si>
    <t>GPU VRAM</t>
  </si>
  <si>
    <t>GPU TGP</t>
  </si>
  <si>
    <t>Driver Version</t>
  </si>
  <si>
    <t>CUDA Version</t>
  </si>
  <si>
    <t>PyTorch Version</t>
  </si>
  <si>
    <t>Transformers Version</t>
  </si>
  <si>
    <t>OS</t>
  </si>
  <si>
    <t>Storage Type</t>
  </si>
  <si>
    <t>Storage Free Space</t>
  </si>
  <si>
    <t>Python Version</t>
  </si>
  <si>
    <t>2026-09-15</t>
  </si>
  <si>
    <t>AMD Ryzen 9 7940HS</t>
  </si>
  <si>
    <t>550.90.07</t>
  </si>
  <si>
    <t>12.4</t>
  </si>
  <si>
    <t>2.4.1</t>
  </si>
  <si>
    <t>4.44.2</t>
  </si>
  <si>
    <t>Ubuntu 24.04</t>
  </si>
  <si>
    <t>NVMe SSD</t>
  </si>
  <si>
    <t>3.11.9</t>
  </si>
  <si>
    <t>Method</t>
  </si>
  <si>
    <t>Category</t>
  </si>
  <si>
    <t>PTQ / QAT</t>
  </si>
  <si>
    <t>Weight Quantization</t>
  </si>
  <si>
    <t>Activation Quantization</t>
  </si>
  <si>
    <t>KV Quantization</t>
  </si>
  <si>
    <t>Bit Width</t>
  </si>
  <si>
    <t>Symmetric / Asymmetric</t>
  </si>
  <si>
    <t>Per Tensor / Channel / Group</t>
  </si>
  <si>
    <t>Group Size</t>
  </si>
  <si>
    <t>Calibration Required</t>
  </si>
  <si>
    <t>Core Principle</t>
  </si>
  <si>
    <t>Main Advantage</t>
  </si>
  <si>
    <t>Main Limitation</t>
  </si>
  <si>
    <t>Original Paper</t>
  </si>
  <si>
    <t>Year</t>
  </si>
  <si>
    <t>Implementation</t>
  </si>
  <si>
    <t>GPTQ</t>
  </si>
  <si>
    <t>Weight-only PTQ</t>
  </si>
  <si>
    <t>PTQ</t>
  </si>
  <si>
    <t>Yes</t>
  </si>
  <si>
    <t>No</t>
  </si>
  <si>
    <t>Asymmetric</t>
  </si>
  <si>
    <t>Per Group</t>
  </si>
  <si>
    <t>Layer-wise second-order (Hessian) error compensation</t>
  </si>
  <si>
    <t>Strong 4-bit quality at low cost</t>
  </si>
  <si>
    <t>Calibration-sensitive; weight-only, no activation speedup</t>
  </si>
  <si>
    <t>Frantar et al., GPTQ</t>
  </si>
  <si>
    <t>AutoGPTQ / GPTQModel</t>
  </si>
  <si>
    <t>Model</t>
  </si>
  <si>
    <t>Weight Bits</t>
  </si>
  <si>
    <t>Activation Bits</t>
  </si>
  <si>
    <t>KV Bits</t>
  </si>
  <si>
    <t>Quantization Scheme</t>
  </si>
  <si>
    <t>Calibration Dataset</t>
  </si>
  <si>
    <t>Calibration Samples</t>
  </si>
  <si>
    <t>Excluded Layers</t>
  </si>
  <si>
    <t>GPU Backend</t>
  </si>
  <si>
    <t>Runtime</t>
  </si>
  <si>
    <t>Date</t>
  </si>
  <si>
    <t>Configuration File</t>
  </si>
  <si>
    <t>EXP-001</t>
  </si>
  <si>
    <t>Asymmetric, per-group</t>
  </si>
  <si>
    <t>C4 (en)</t>
  </si>
  <si>
    <t>lm_head</t>
  </si>
  <si>
    <t>CUDA / ExLlamaV2</t>
  </si>
  <si>
    <t>transformers</t>
  </si>
  <si>
    <t>configs/exp001_gptq_w4g128.yaml</t>
  </si>
  <si>
    <t>seqlen 2048 for calibration</t>
  </si>
  <si>
    <t>Precision</t>
  </si>
  <si>
    <t>Prompt ID</t>
  </si>
  <si>
    <t>Input Tokens</t>
  </si>
  <si>
    <t>Output Tokens</t>
  </si>
  <si>
    <t>Load Time</t>
  </si>
  <si>
    <t>Model Size</t>
  </si>
  <si>
    <t>Peak VRAM</t>
  </si>
  <si>
    <t>Peak RAM</t>
  </si>
  <si>
    <t>TTFT</t>
  </si>
  <si>
    <t>Prefill tok/s</t>
  </si>
  <si>
    <t>Decode tok/s</t>
  </si>
  <si>
    <t>Total Latency</t>
  </si>
  <si>
    <t>Perplexity</t>
  </si>
  <si>
    <t>Task Score</t>
  </si>
  <si>
    <t>EXP-000</t>
  </si>
  <si>
    <t>FP16</t>
  </si>
  <si>
    <t>P-01</t>
  </si>
  <si>
    <t>Reference run, offloaded</t>
  </si>
  <si>
    <t>Original Model Size</t>
  </si>
  <si>
    <t>Quantized Model Size</t>
  </si>
  <si>
    <t>Size Reduction GB</t>
  </si>
  <si>
    <t>Size Reduction %</t>
  </si>
  <si>
    <t>Weight Size</t>
  </si>
  <si>
    <t>Metadata Size</t>
  </si>
  <si>
    <t>Total Disk Size</t>
  </si>
  <si>
    <t>W4A16</t>
  </si>
  <si>
    <t>Model Weight Memory</t>
  </si>
  <si>
    <t>Peak GPU VRAM</t>
  </si>
  <si>
    <t>Peak CPU RAM</t>
  </si>
  <si>
    <t>KV Cache Memory</t>
  </si>
  <si>
    <t>Runtime Memory</t>
  </si>
  <si>
    <t>Peak Total Memory</t>
  </si>
  <si>
    <t>Memory Reduction GB</t>
  </si>
  <si>
    <t>Memory Reduction %</t>
  </si>
  <si>
    <t>Total Generation Time</t>
  </si>
  <si>
    <t>End-to-End tok/s</t>
  </si>
  <si>
    <t>Speedup vs Baseline</t>
  </si>
  <si>
    <t>Slowdown vs Baseline</t>
  </si>
  <si>
    <t>-</t>
  </si>
  <si>
    <t>Input Length</t>
  </si>
  <si>
    <t>Output Length</t>
  </si>
  <si>
    <t>Time per Token</t>
  </si>
  <si>
    <t>P50 Latency</t>
  </si>
  <si>
    <t>P95 Latency</t>
  </si>
  <si>
    <t>P99 Latency</t>
  </si>
  <si>
    <t>Baseline Latency</t>
  </si>
  <si>
    <t>Latency Improvement %</t>
  </si>
  <si>
    <t>Prefill Time</t>
  </si>
  <si>
    <t>Decode Time</t>
  </si>
  <si>
    <t>Memory During Prefill</t>
  </si>
  <si>
    <t>Memory During Decode</t>
  </si>
  <si>
    <t>Bottleneck</t>
  </si>
  <si>
    <t>Memory bandwidth (decode)</t>
  </si>
  <si>
    <t>Dequant overhead visible in prefill</t>
  </si>
  <si>
    <t>Dataset</t>
  </si>
  <si>
    <t>Dataset Split</t>
  </si>
  <si>
    <t>Number of Tokens</t>
  </si>
  <si>
    <t>Baseline Perplexity</t>
  </si>
  <si>
    <t>PPL Increase</t>
  </si>
  <si>
    <t>PPL Change %</t>
  </si>
  <si>
    <t>WikiText-2</t>
  </si>
  <si>
    <t>test</t>
  </si>
  <si>
    <t>seqlen 2048, stride 2048</t>
  </si>
  <si>
    <t>Benchmark</t>
  </si>
  <si>
    <t>Task</t>
  </si>
  <si>
    <t>Samples</t>
  </si>
  <si>
    <t>Correct</t>
  </si>
  <si>
    <t>Accuracy</t>
  </si>
  <si>
    <t>Baseline Accuracy</t>
  </si>
  <si>
    <t>Accuracy Drop</t>
  </si>
  <si>
    <t>Accuracy Retention %</t>
  </si>
  <si>
    <t>MMLU</t>
  </si>
  <si>
    <t>5-shot, all subjects</t>
  </si>
  <si>
    <t>Baseline Quality</t>
  </si>
  <si>
    <t>Quantized Quality</t>
  </si>
  <si>
    <t>Absolute Quality Drop</t>
  </si>
  <si>
    <t>Quality Retention %</t>
  </si>
  <si>
    <t>Speed Improvement %</t>
  </si>
  <si>
    <t>Overall Efficiency Score</t>
  </si>
  <si>
    <t>Layer</t>
  </si>
  <si>
    <t>Tensor</t>
  </si>
  <si>
    <t>Original Min</t>
  </si>
  <si>
    <t>Original Max</t>
  </si>
  <si>
    <t>Quantized Min</t>
  </si>
  <si>
    <t>Quantized Max</t>
  </si>
  <si>
    <t>MAE</t>
  </si>
  <si>
    <t>MSE</t>
  </si>
  <si>
    <t>RMSE</t>
  </si>
  <si>
    <t>Max Absolute Error</t>
  </si>
  <si>
    <t>Relative Error</t>
  </si>
  <si>
    <t>Quantization Range</t>
  </si>
  <si>
    <t>mlp.down_proj.weight</t>
  </si>
  <si>
    <t>Error concentrated on outlier channels</t>
  </si>
  <si>
    <t>Layer Number</t>
  </si>
  <si>
    <t>Layer Type</t>
  </si>
  <si>
    <t>Quantized Perplexity</t>
  </si>
  <si>
    <t>Weight MAE</t>
  </si>
  <si>
    <t>Activation Error</t>
  </si>
  <si>
    <t>Sensitivity Score</t>
  </si>
  <si>
    <t>Sensitivity Rank</t>
  </si>
  <si>
    <t>Recommended Precision</t>
  </si>
  <si>
    <t>self_attn.q_proj</t>
  </si>
  <si>
    <t>INT4</t>
  </si>
  <si>
    <t>INT8 (keep first layers higher precision)</t>
  </si>
  <si>
    <t>Min</t>
  </si>
  <si>
    <t>Max</t>
  </si>
  <si>
    <t>Mean</t>
  </si>
  <si>
    <t>Std</t>
  </si>
  <si>
    <t>Absolute Max</t>
  </si>
  <si>
    <t>Percentile 99</t>
  </si>
  <si>
    <t>Percentile 99.9</t>
  </si>
  <si>
    <t>Outlier Count</t>
  </si>
  <si>
    <t>Outlier %</t>
  </si>
  <si>
    <t>Activation Quantization Error</t>
  </si>
  <si>
    <t>mlp.down_proj.input</t>
  </si>
  <si>
    <t>C4 (128 seqs)</t>
  </si>
  <si>
    <t>Massive outlier channels -&gt; motivates SmoothQuant-style migration</t>
  </si>
  <si>
    <t>Median</t>
  </si>
  <si>
    <t>Outlier Ratio</t>
  </si>
  <si>
    <t>Weight MSE</t>
  </si>
  <si>
    <t>Outlier = |w| &gt; 4*std</t>
  </si>
  <si>
    <t>Quality Retention</t>
  </si>
  <si>
    <t>Overall Score</t>
  </si>
  <si>
    <t>Domain</t>
  </si>
  <si>
    <t>Tokens</t>
  </si>
  <si>
    <t>Sequence Length</t>
  </si>
  <si>
    <t>Quantization Time</t>
  </si>
  <si>
    <t>Quality Drop</t>
  </si>
  <si>
    <t>Inference Speed</t>
  </si>
  <si>
    <t>Web text</t>
  </si>
  <si>
    <t>Compare vs WikiText / domain-matched calib</t>
  </si>
  <si>
    <t>KV Cache</t>
  </si>
  <si>
    <t>Perplexity / Quality</t>
  </si>
  <si>
    <t>Decode degrades as KV cache grows</t>
  </si>
  <si>
    <t>Weight Precision</t>
  </si>
  <si>
    <t>KV Precision</t>
  </si>
  <si>
    <t>Number of KV Heads</t>
  </si>
  <si>
    <t>Head Dimension</t>
  </si>
  <si>
    <t>KV Cache Size</t>
  </si>
  <si>
    <t>Memory Growth</t>
  </si>
  <si>
    <t>Quality</t>
  </si>
  <si>
    <t>EXP-002</t>
  </si>
  <si>
    <t>GPTQ + KV8</t>
  </si>
  <si>
    <t>INT8</t>
  </si>
  <si>
    <t>KV8 halves cache with negligible PPL change</t>
  </si>
  <si>
    <t>Average GPU Utilization</t>
  </si>
  <si>
    <t>Peak GPU Utilization</t>
  </si>
  <si>
    <t>GPU Memory Used</t>
  </si>
  <si>
    <t>GPU Memory Utilization</t>
  </si>
  <si>
    <t>Compute Utilization</t>
  </si>
  <si>
    <t>Low compute util confirms bandwidth bound decode</t>
  </si>
  <si>
    <t>Average CPU Utilization</t>
  </si>
  <si>
    <t>Peak CPU Utilization</t>
  </si>
  <si>
    <t>Average RAM</t>
  </si>
  <si>
    <t>RAM Usage %</t>
  </si>
  <si>
    <t>CPU Temperature</t>
  </si>
  <si>
    <t>GPU Temperature</t>
  </si>
  <si>
    <t>Disk Activity</t>
  </si>
  <si>
    <t>Disk Read</t>
  </si>
  <si>
    <t>Disk Write</t>
  </si>
  <si>
    <t>Load only</t>
  </si>
  <si>
    <t>RAM % assumes 32 GB system</t>
  </si>
  <si>
    <t>Idle Power</t>
  </si>
  <si>
    <t>Average Power</t>
  </si>
  <si>
    <t>Peak Power</t>
  </si>
  <si>
    <t>GPU Power</t>
  </si>
  <si>
    <t>CPU Power</t>
  </si>
  <si>
    <t>Total Energy</t>
  </si>
  <si>
    <t>Energy per Query</t>
  </si>
  <si>
    <t>Total Energy in Wh; Runtime in s</t>
  </si>
  <si>
    <t>Energy per Token</t>
  </si>
  <si>
    <t>Energy Efficiency</t>
  </si>
  <si>
    <t>Baseline Energy/token</t>
  </si>
  <si>
    <t>Improvement %</t>
  </si>
  <si>
    <t>Test Duration</t>
  </si>
  <si>
    <t>Initial GPU Temp</t>
  </si>
  <si>
    <t>Average GPU Temp</t>
  </si>
  <si>
    <t>Peak GPU Temp</t>
  </si>
  <si>
    <t>Initial CPU Temp</t>
  </si>
  <si>
    <t>Average CPU Temp</t>
  </si>
  <si>
    <t>Peak CPU Temp</t>
  </si>
  <si>
    <t>Thermal Throttling</t>
  </si>
  <si>
    <t>Initial tok/s</t>
  </si>
  <si>
    <t>Final tok/s</t>
  </si>
  <si>
    <t>Performance Drop %</t>
  </si>
  <si>
    <t>Memory Efficiency Score</t>
  </si>
  <si>
    <t>Quality Score</t>
  </si>
  <si>
    <t>Memory Reduction</t>
  </si>
  <si>
    <t>Speed Improvement</t>
  </si>
  <si>
    <t>Energy Reduction</t>
  </si>
  <si>
    <t>Efficiency Score</t>
  </si>
  <si>
    <t>Rank</t>
  </si>
  <si>
    <t>Memory</t>
  </si>
  <si>
    <t>Latency</t>
  </si>
  <si>
    <t>Speed</t>
  </si>
  <si>
    <t>Dominated?</t>
  </si>
  <si>
    <t>Pareto Optimal?</t>
  </si>
  <si>
    <t>Pareto Rank</t>
  </si>
  <si>
    <t>Not dominated on (quality, memory, latency)</t>
  </si>
  <si>
    <t>Time</t>
  </si>
  <si>
    <t>Research Question</t>
  </si>
  <si>
    <t>Hypothesis</t>
  </si>
  <si>
    <t>Configuration</t>
  </si>
  <si>
    <t>Hardware</t>
  </si>
  <si>
    <t>Code Version</t>
  </si>
  <si>
    <t>Result</t>
  </si>
  <si>
    <t>Observation</t>
  </si>
  <si>
    <t>Expected Result</t>
  </si>
  <si>
    <t>Actual Result</t>
  </si>
  <si>
    <t>Failure?</t>
  </si>
  <si>
    <t>Error Message</t>
  </si>
  <si>
    <t>Next Action</t>
  </si>
  <si>
    <t>Status</t>
  </si>
  <si>
    <t>14:20</t>
  </si>
  <si>
    <t>How much quality does W4 GPTQ cost on an 8B model?</t>
  </si>
  <si>
    <t>PPL increase &lt; 0.5 with g128</t>
  </si>
  <si>
    <t>W4A16 g128, C4 128 samples</t>
  </si>
  <si>
    <t>WikiText-2 test</t>
  </si>
  <si>
    <t>RTX 4060 8GB</t>
  </si>
  <si>
    <t>git 9f2a1c4</t>
  </si>
  <si>
    <t>PPL 6.51 vs 6.24</t>
  </si>
  <si>
    <t>Early layers dominate the degradation</t>
  </si>
  <si>
    <t>PPL increase &lt; 0.50</t>
  </si>
  <si>
    <t>PPL increase 0.27</t>
  </si>
  <si>
    <t>Run per-layer sensitivity sweep (EXP-003)</t>
  </si>
  <si>
    <t>Complete</t>
  </si>
  <si>
    <t>VRAM</t>
  </si>
  <si>
    <t>RAM</t>
  </si>
  <si>
    <t>Energy/token</t>
  </si>
  <si>
    <t>Overall Rank</t>
  </si>
  <si>
    <t>Advantages</t>
  </si>
  <si>
    <t>Limitations</t>
  </si>
  <si>
    <t>Strong 4-bit quality; mature kernels</t>
  </si>
  <si>
    <t>Calibration-sensitive; no activation quantization</t>
  </si>
  <si>
    <t>Observation ID</t>
  </si>
  <si>
    <t>Metric Affected</t>
  </si>
  <si>
    <t>Magnitude</t>
  </si>
  <si>
    <t>Possible Cause</t>
  </si>
  <si>
    <t>Existing Method</t>
  </si>
  <si>
    <t>Existing Limitation</t>
  </si>
  <si>
    <t>Evidence</t>
  </si>
  <si>
    <t>Research Gap</t>
  </si>
  <si>
    <t>Importance</t>
  </si>
  <si>
    <t>Reproducible?</t>
  </si>
  <si>
    <t>Next Experiment</t>
  </si>
  <si>
    <t>OBS-001</t>
  </si>
  <si>
    <t>Layers 0-3 contribute ~60% of total PPL increase</t>
  </si>
  <si>
    <t>+0.16 of +0.27</t>
  </si>
  <si>
    <t>Wide activation range in early attention blocks</t>
  </si>
  <si>
    <t>Uniform per-group INT4 across all layers</t>
  </si>
  <si>
    <t>Ignores layer-level sensitivity variation</t>
  </si>
  <si>
    <t>15_Layer-wise Sensitivity, rows 2-33</t>
  </si>
  <si>
    <t>No cheap sensitivity metric to allocate bits per layer without full PPL sweeps</t>
  </si>
  <si>
    <t>High</t>
  </si>
  <si>
    <t>Yes (3 seeds)</t>
  </si>
  <si>
    <t>Mixed-precision: INT8 for layers 0-3, INT4 elsewhere</t>
  </si>
  <si>
    <t>Idea ID</t>
  </si>
  <si>
    <t>Research Problem</t>
  </si>
  <si>
    <t>Motivation</t>
  </si>
  <si>
    <t>Target Component</t>
  </si>
  <si>
    <t>Proposed Change</t>
  </si>
  <si>
    <t>Expected Benefit</t>
  </si>
  <si>
    <t>Potential Risk</t>
  </si>
  <si>
    <t>Required Experiment</t>
  </si>
  <si>
    <t>Baselines</t>
  </si>
  <si>
    <t>Success Metric</t>
  </si>
  <si>
    <t>IDEA-001</t>
  </si>
  <si>
    <t>Uniform bit allocation wastes budget on insensitive layers</t>
  </si>
  <si>
    <t>A Hessian-trace proxy predicts layer sensitivity at &lt;1% of sweep cost</t>
  </si>
  <si>
    <t>Bit allocation policy</t>
  </si>
  <si>
    <t>Rank layers by proxy, assign INT8 to top-k</t>
  </si>
  <si>
    <t>PPL increase halved at +4% model size</t>
  </si>
  <si>
    <t>Proxy may not transfer across model families</t>
  </si>
  <si>
    <t>Proxy vs measured sensitivity correlation on 3 models</t>
  </si>
  <si>
    <t>GPTQ W4 g128, AWQ W4 g128</t>
  </si>
  <si>
    <t>Spearman rho &gt; 0.8; PPL gap &lt; 0.15</t>
  </si>
  <si>
    <t>Proposed</t>
  </si>
  <si>
    <t>Paper ID</t>
  </si>
  <si>
    <t>Title</t>
  </si>
  <si>
    <t>Authors</t>
  </si>
  <si>
    <t>Conference / Journal</t>
  </si>
  <si>
    <t>Problem</t>
  </si>
  <si>
    <t>Proposed Solution</t>
  </si>
  <si>
    <t>Quantization Type</t>
  </si>
  <si>
    <t>Main Result</t>
  </si>
  <si>
    <t>Limitation</t>
  </si>
  <si>
    <t>Relevance to My Work</t>
  </si>
  <si>
    <t>Paper URL</t>
  </si>
  <si>
    <t>P-001</t>
  </si>
  <si>
    <t>GPTQ: Accurate Post-Training Quantization for Generative Transformers</t>
  </si>
  <si>
    <t>Frantar, Ashkboos, Hoefler, Alistarh</t>
  </si>
  <si>
    <t>ICLR 2023</t>
  </si>
  <si>
    <t>Accurate 3-4 bit PTQ for very large LLMs</t>
  </si>
  <si>
    <t>RTN collapses below 8 bits on large models</t>
  </si>
  <si>
    <t>Layer-wise Hessian-based error compensation</t>
  </si>
  <si>
    <t>OPT, BLOOM</t>
  </si>
  <si>
    <t>C4, WikiText-2</t>
  </si>
  <si>
    <t>A100 80GB</t>
  </si>
  <si>
    <t>Near-FP16 PPL at 4 bits</t>
  </si>
  <si>
    <t>Weight-only; no activation/KV handling</t>
  </si>
  <si>
    <t>Uniform bit width across layers</t>
  </si>
  <si>
    <t>Primary baseline for all experiments</t>
  </si>
  <si>
    <t>https://arxiv.org/abs/2210.17323</t>
  </si>
  <si>
    <t>Compression Ratio</t>
  </si>
  <si>
    <t>Task Accuracy</t>
  </si>
  <si>
    <t>Peak Temperature</t>
  </si>
  <si>
    <t>Speedup</t>
  </si>
  <si>
    <t>Best For</t>
  </si>
  <si>
    <t>8 GB consumer GPUs; quality-sensitive local inference</t>
  </si>
  <si>
    <t>NVIDIA RTX 5050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</si>
</sst>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2" fillId="0" borderId="0" xfId="0" applyFont="1"/>
    <xf numFmtId="164" fontId="5" fillId="0" borderId="1" xfId="0" applyNumberFormat="1" applyFont="1" applyBorder="1" applyAlignment="1">
      <alignment vertical="top" wrapText="1"/>
    </xf>
    <xf numFmtId="10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zoomScaleNormal="100" workbookViewId="0">
      <selection activeCell="A35" sqref="A35"/>
    </sheetView>
  </sheetViews>
  <sheetFormatPr defaultColWidth="8.7109375" defaultRowHeight="15" x14ac:dyDescent="0.25"/>
  <cols>
    <col min="1" max="1" width="46" customWidth="1"/>
    <col min="2" max="2" width="96" customWidth="1"/>
  </cols>
  <sheetData>
    <row r="1" spans="1:2" ht="18" x14ac:dyDescent="0.25">
      <c r="A1" s="1" t="s">
        <v>0</v>
      </c>
    </row>
    <row r="2" spans="1:2" x14ac:dyDescent="0.25">
      <c r="A2" s="2"/>
      <c r="B2" s="2"/>
    </row>
    <row r="3" spans="1:2" x14ac:dyDescent="0.25">
      <c r="A3" s="3" t="s">
        <v>1</v>
      </c>
      <c r="B3" s="2"/>
    </row>
    <row r="4" spans="1:2" x14ac:dyDescent="0.25">
      <c r="A4" s="2" t="s">
        <v>2</v>
      </c>
      <c r="B4" s="2" t="s">
        <v>3</v>
      </c>
    </row>
    <row r="5" spans="1:2" x14ac:dyDescent="0.25">
      <c r="A5" s="2" t="s">
        <v>4</v>
      </c>
      <c r="B5" s="2" t="s">
        <v>5</v>
      </c>
    </row>
    <row r="6" spans="1:2" x14ac:dyDescent="0.25">
      <c r="A6" s="2" t="s">
        <v>6</v>
      </c>
      <c r="B6" s="2" t="s">
        <v>7</v>
      </c>
    </row>
    <row r="7" spans="1:2" x14ac:dyDescent="0.25">
      <c r="A7" s="2" t="s">
        <v>8</v>
      </c>
      <c r="B7" s="2" t="s">
        <v>9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/>
      <c r="B11" s="2"/>
    </row>
    <row r="12" spans="1:2" ht="30" x14ac:dyDescent="0.25">
      <c r="A12" s="3" t="s">
        <v>16</v>
      </c>
      <c r="B12" s="2"/>
    </row>
    <row r="13" spans="1:2" x14ac:dyDescent="0.25">
      <c r="A13" s="2" t="s">
        <v>17</v>
      </c>
      <c r="B13" s="2" t="s">
        <v>18</v>
      </c>
    </row>
    <row r="14" spans="1:2" ht="25.5" x14ac:dyDescent="0.25">
      <c r="A14" s="2" t="s">
        <v>19</v>
      </c>
      <c r="B14" s="2" t="s">
        <v>20</v>
      </c>
    </row>
    <row r="15" spans="1:2" x14ac:dyDescent="0.25">
      <c r="A15" s="2" t="s">
        <v>21</v>
      </c>
      <c r="B15" s="2" t="s">
        <v>22</v>
      </c>
    </row>
    <row r="16" spans="1:2" x14ac:dyDescent="0.25">
      <c r="A16" s="2" t="s">
        <v>23</v>
      </c>
      <c r="B16" s="2" t="s">
        <v>24</v>
      </c>
    </row>
    <row r="17" spans="1:2" x14ac:dyDescent="0.25">
      <c r="A17" s="2" t="s">
        <v>25</v>
      </c>
      <c r="B17" s="2" t="s">
        <v>26</v>
      </c>
    </row>
    <row r="18" spans="1:2" x14ac:dyDescent="0.25">
      <c r="A18" s="2" t="s">
        <v>27</v>
      </c>
      <c r="B18" s="2" t="s">
        <v>28</v>
      </c>
    </row>
    <row r="19" spans="1:2" x14ac:dyDescent="0.25">
      <c r="A19" s="2" t="s">
        <v>29</v>
      </c>
      <c r="B19" s="2" t="s">
        <v>30</v>
      </c>
    </row>
    <row r="20" spans="1:2" x14ac:dyDescent="0.25">
      <c r="A20" s="2"/>
      <c r="B20" s="2"/>
    </row>
    <row r="21" spans="1:2" x14ac:dyDescent="0.25">
      <c r="A21" s="3" t="s">
        <v>31</v>
      </c>
      <c r="B21" s="2"/>
    </row>
    <row r="22" spans="1:2" x14ac:dyDescent="0.25">
      <c r="A22" s="2" t="s">
        <v>32</v>
      </c>
      <c r="B22" s="2" t="s">
        <v>33</v>
      </c>
    </row>
    <row r="23" spans="1:2" x14ac:dyDescent="0.25">
      <c r="A23" s="2" t="s">
        <v>34</v>
      </c>
      <c r="B23" s="2" t="s">
        <v>35</v>
      </c>
    </row>
    <row r="24" spans="1:2" ht="25.5" x14ac:dyDescent="0.25">
      <c r="A24" s="2" t="s">
        <v>36</v>
      </c>
      <c r="B24" s="2" t="s">
        <v>37</v>
      </c>
    </row>
    <row r="25" spans="1:2" x14ac:dyDescent="0.25">
      <c r="A25" s="2"/>
      <c r="B25" s="2"/>
    </row>
    <row r="26" spans="1:2" x14ac:dyDescent="0.25">
      <c r="A26" s="2" t="s">
        <v>38</v>
      </c>
      <c r="B26" s="2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15" customWidth="1"/>
    <col min="3" max="3" width="17" customWidth="1"/>
    <col min="4" max="4" width="12" customWidth="1"/>
    <col min="5" max="5" width="15" customWidth="1"/>
    <col min="6" max="6" width="17" customWidth="1"/>
    <col min="7" max="7" width="12" customWidth="1"/>
    <col min="8" max="8" width="16" customWidth="1"/>
    <col min="9" max="9" width="20" customWidth="1"/>
    <col min="10" max="10" width="13" customWidth="1"/>
    <col min="11" max="11" width="19" customWidth="1"/>
    <col min="12" max="13" width="20" customWidth="1"/>
    <col min="14" max="14" width="12" customWidth="1"/>
    <col min="15" max="16" width="15" customWidth="1"/>
    <col min="17" max="17" width="12" customWidth="1"/>
  </cols>
  <sheetData>
    <row r="1" spans="1:17" ht="33.75" customHeight="1" x14ac:dyDescent="0.25">
      <c r="A1" s="4" t="s">
        <v>14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</row>
    <row r="2" spans="1:17" ht="51" x14ac:dyDescent="0.25">
      <c r="A2" s="5" t="s">
        <v>56</v>
      </c>
      <c r="B2" s="5" t="s">
        <v>57</v>
      </c>
      <c r="C2" s="5" t="s">
        <v>58</v>
      </c>
      <c r="D2" s="5" t="s">
        <v>59</v>
      </c>
      <c r="E2" s="5">
        <v>8030000000</v>
      </c>
      <c r="F2" s="5" t="s">
        <v>60</v>
      </c>
      <c r="G2" s="5">
        <v>32</v>
      </c>
      <c r="H2" s="5">
        <v>4096</v>
      </c>
      <c r="I2" s="5">
        <v>32</v>
      </c>
      <c r="J2" s="5">
        <v>8</v>
      </c>
      <c r="K2" s="5">
        <v>131072</v>
      </c>
      <c r="L2" s="5">
        <v>128256</v>
      </c>
      <c r="M2" s="5" t="s">
        <v>61</v>
      </c>
      <c r="N2" s="5" t="s">
        <v>62</v>
      </c>
      <c r="O2" s="5" t="s">
        <v>63</v>
      </c>
      <c r="P2" s="5" t="s">
        <v>64</v>
      </c>
      <c r="Q2" s="5" t="s">
        <v>65</v>
      </c>
    </row>
    <row r="3" spans="1:1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</sheetData>
  <autoFilter ref="A1:Q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0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8.7109375" defaultRowHeight="15" x14ac:dyDescent="0.25"/>
  <cols>
    <col min="1" max="1" width="20" customWidth="1"/>
    <col min="2" max="2" width="12" customWidth="1"/>
    <col min="3" max="3" width="14" customWidth="1"/>
    <col min="4" max="4" width="15" customWidth="1"/>
    <col min="5" max="5" width="12" customWidth="1"/>
    <col min="6" max="6" width="13" customWidth="1"/>
    <col min="7" max="7" width="12" customWidth="1"/>
    <col min="8" max="8" width="19" customWidth="1"/>
    <col min="9" max="9" width="17" customWidth="1"/>
    <col min="10" max="10" width="20" customWidth="1"/>
    <col min="11" max="11" width="25" customWidth="1"/>
    <col min="12" max="12" width="12" customWidth="1"/>
    <col min="13" max="13" width="17" customWidth="1"/>
    <col min="14" max="14" width="23" customWidth="1"/>
    <col min="15" max="15" width="19" customWidth="1"/>
  </cols>
  <sheetData>
    <row r="1" spans="1:15" ht="33.75" customHeight="1" x14ac:dyDescent="0.25">
      <c r="A1" s="4" t="s">
        <v>66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  <c r="K1" s="4" t="s">
        <v>76</v>
      </c>
      <c r="L1" s="4" t="s">
        <v>77</v>
      </c>
      <c r="M1" s="4" t="s">
        <v>78</v>
      </c>
      <c r="N1" s="4" t="s">
        <v>79</v>
      </c>
      <c r="O1" s="4" t="s">
        <v>80</v>
      </c>
    </row>
    <row r="2" spans="1:15" ht="25.5" x14ac:dyDescent="0.25">
      <c r="A2" s="5" t="s">
        <v>81</v>
      </c>
      <c r="B2" s="5" t="s">
        <v>82</v>
      </c>
      <c r="C2" s="5">
        <v>8</v>
      </c>
      <c r="D2" s="5">
        <v>32</v>
      </c>
      <c r="E2" s="5" t="s">
        <v>448</v>
      </c>
      <c r="F2" s="5">
        <v>8</v>
      </c>
      <c r="G2" s="5">
        <v>115</v>
      </c>
      <c r="H2" s="5" t="s">
        <v>83</v>
      </c>
      <c r="I2" s="5" t="s">
        <v>84</v>
      </c>
      <c r="J2" s="5" t="s">
        <v>85</v>
      </c>
      <c r="K2" s="5" t="s">
        <v>86</v>
      </c>
      <c r="L2" s="5" t="s">
        <v>87</v>
      </c>
      <c r="M2" s="5" t="s">
        <v>88</v>
      </c>
      <c r="N2" s="5">
        <v>420</v>
      </c>
      <c r="O2" s="5" t="s">
        <v>89</v>
      </c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</sheetData>
  <autoFilter ref="A1:O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3" customWidth="1"/>
    <col min="3" max="3" width="14" customWidth="1"/>
    <col min="4" max="4" width="24" customWidth="1"/>
    <col min="5" max="5" width="28" customWidth="1"/>
    <col min="6" max="6" width="20" customWidth="1"/>
    <col min="7" max="7" width="14" customWidth="1"/>
    <col min="8" max="8" width="27" customWidth="1"/>
    <col min="9" max="9" width="33" customWidth="1"/>
    <col min="10" max="10" width="15" customWidth="1"/>
    <col min="11" max="11" width="25" customWidth="1"/>
    <col min="12" max="13" width="19" customWidth="1"/>
    <col min="14" max="14" width="20" customWidth="1"/>
    <col min="15" max="15" width="19" customWidth="1"/>
    <col min="16" max="16" width="12" customWidth="1"/>
    <col min="17" max="17" width="19" customWidth="1"/>
  </cols>
  <sheetData>
    <row r="1" spans="1:17" ht="33.75" customHeight="1" x14ac:dyDescent="0.25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100</v>
      </c>
      <c r="L1" s="4" t="s">
        <v>101</v>
      </c>
      <c r="M1" s="4" t="s">
        <v>102</v>
      </c>
      <c r="N1" s="4" t="s">
        <v>103</v>
      </c>
      <c r="O1" s="4" t="s">
        <v>104</v>
      </c>
      <c r="P1" s="4" t="s">
        <v>105</v>
      </c>
      <c r="Q1" s="4" t="s">
        <v>106</v>
      </c>
    </row>
    <row r="2" spans="1:17" ht="38.25" x14ac:dyDescent="0.25">
      <c r="A2" s="5" t="s">
        <v>107</v>
      </c>
      <c r="B2" s="5" t="s">
        <v>108</v>
      </c>
      <c r="C2" s="5" t="s">
        <v>109</v>
      </c>
      <c r="D2" s="5" t="s">
        <v>110</v>
      </c>
      <c r="E2" s="5" t="s">
        <v>111</v>
      </c>
      <c r="F2" s="5" t="s">
        <v>111</v>
      </c>
      <c r="G2" s="5">
        <v>4</v>
      </c>
      <c r="H2" s="5" t="s">
        <v>112</v>
      </c>
      <c r="I2" s="5" t="s">
        <v>113</v>
      </c>
      <c r="J2" s="5">
        <v>128</v>
      </c>
      <c r="K2" s="5" t="s">
        <v>110</v>
      </c>
      <c r="L2" s="5" t="s">
        <v>114</v>
      </c>
      <c r="M2" s="5" t="s">
        <v>115</v>
      </c>
      <c r="N2" s="5" t="s">
        <v>116</v>
      </c>
      <c r="O2" s="5" t="s">
        <v>117</v>
      </c>
      <c r="P2" s="5">
        <v>2022</v>
      </c>
      <c r="Q2" s="5" t="s">
        <v>118</v>
      </c>
    </row>
    <row r="3" spans="1:1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</sheetData>
  <autoFilter ref="A1:Q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3" width="12" customWidth="1"/>
    <col min="4" max="4" width="16" customWidth="1"/>
    <col min="5" max="5" width="20" customWidth="1"/>
    <col min="6" max="6" width="12" customWidth="1"/>
    <col min="7" max="7" width="15" customWidth="1"/>
    <col min="8" max="10" width="24" customWidth="1"/>
    <col min="11" max="11" width="20" customWidth="1"/>
    <col min="12" max="12" width="16" customWidth="1"/>
    <col min="13" max="14" width="12" customWidth="1"/>
    <col min="15" max="15" width="23" customWidth="1"/>
    <col min="16" max="16" width="12" customWidth="1"/>
  </cols>
  <sheetData>
    <row r="1" spans="1:16" ht="33.75" customHeight="1" x14ac:dyDescent="0.25">
      <c r="A1" s="4" t="s">
        <v>12</v>
      </c>
      <c r="B1" s="4" t="s">
        <v>119</v>
      </c>
      <c r="C1" s="4" t="s">
        <v>90</v>
      </c>
      <c r="D1" s="4" t="s">
        <v>120</v>
      </c>
      <c r="E1" s="4" t="s">
        <v>121</v>
      </c>
      <c r="F1" s="4" t="s">
        <v>122</v>
      </c>
      <c r="G1" s="4" t="s">
        <v>99</v>
      </c>
      <c r="H1" s="4" t="s">
        <v>123</v>
      </c>
      <c r="I1" s="4" t="s">
        <v>124</v>
      </c>
      <c r="J1" s="4" t="s">
        <v>125</v>
      </c>
      <c r="K1" s="4" t="s">
        <v>126</v>
      </c>
      <c r="L1" s="4" t="s">
        <v>127</v>
      </c>
      <c r="M1" s="4" t="s">
        <v>128</v>
      </c>
      <c r="N1" s="4" t="s">
        <v>129</v>
      </c>
      <c r="O1" s="4" t="s">
        <v>130</v>
      </c>
      <c r="P1" s="4" t="s">
        <v>55</v>
      </c>
    </row>
    <row r="2" spans="1:16" ht="38.25" x14ac:dyDescent="0.25">
      <c r="A2" s="5" t="s">
        <v>131</v>
      </c>
      <c r="B2" s="5" t="s">
        <v>56</v>
      </c>
      <c r="C2" s="5" t="s">
        <v>107</v>
      </c>
      <c r="D2" s="5">
        <v>4</v>
      </c>
      <c r="E2" s="5">
        <v>16</v>
      </c>
      <c r="F2" s="5">
        <v>16</v>
      </c>
      <c r="G2" s="5">
        <v>128</v>
      </c>
      <c r="H2" s="5" t="s">
        <v>132</v>
      </c>
      <c r="I2" s="5" t="s">
        <v>133</v>
      </c>
      <c r="J2" s="5">
        <v>128</v>
      </c>
      <c r="K2" s="5" t="s">
        <v>134</v>
      </c>
      <c r="L2" s="5" t="s">
        <v>135</v>
      </c>
      <c r="M2" s="5" t="s">
        <v>136</v>
      </c>
      <c r="N2" s="5" t="s">
        <v>81</v>
      </c>
      <c r="O2" s="5" t="s">
        <v>137</v>
      </c>
      <c r="P2" s="5" t="s">
        <v>138</v>
      </c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</sheetData>
  <autoFilter ref="A1:P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4" width="14" customWidth="1"/>
    <col min="5" max="5" width="17" customWidth="1"/>
    <col min="6" max="6" width="18" customWidth="1"/>
    <col min="7" max="7" width="14" customWidth="1"/>
    <col min="8" max="8" width="15" customWidth="1"/>
    <col min="9" max="9" width="14" customWidth="1"/>
    <col min="10" max="10" width="13" customWidth="1"/>
    <col min="11" max="11" width="12" customWidth="1"/>
    <col min="12" max="12" width="18" customWidth="1"/>
    <col min="13" max="13" width="17" customWidth="1"/>
    <col min="14" max="14" width="18" customWidth="1"/>
    <col min="15" max="16" width="15" customWidth="1"/>
    <col min="17" max="17" width="16" customWidth="1"/>
    <col min="18" max="18" width="12" customWidth="1"/>
  </cols>
  <sheetData>
    <row r="1" spans="1:18" ht="33.75" customHeight="1" x14ac:dyDescent="0.25">
      <c r="A1" s="4" t="s">
        <v>12</v>
      </c>
      <c r="B1" s="4" t="s">
        <v>119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  <c r="I1" s="4" t="s">
        <v>145</v>
      </c>
      <c r="J1" s="4" t="s">
        <v>146</v>
      </c>
      <c r="K1" s="4" t="s">
        <v>147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  <c r="Q1" s="4" t="s">
        <v>27</v>
      </c>
      <c r="R1" s="4" t="s">
        <v>55</v>
      </c>
    </row>
    <row r="2" spans="1:18" ht="38.25" x14ac:dyDescent="0.25">
      <c r="A2" s="5" t="s">
        <v>153</v>
      </c>
      <c r="B2" s="5" t="s">
        <v>56</v>
      </c>
      <c r="C2" s="5" t="s">
        <v>154</v>
      </c>
      <c r="D2" s="5" t="s">
        <v>155</v>
      </c>
      <c r="E2" s="5">
        <v>512</v>
      </c>
      <c r="F2" s="5">
        <v>256</v>
      </c>
      <c r="G2" s="5">
        <v>38.200000000000003</v>
      </c>
      <c r="H2" s="5">
        <v>16.059999999999999</v>
      </c>
      <c r="I2" s="5">
        <v>17.399999999999999</v>
      </c>
      <c r="J2" s="5">
        <v>6.2</v>
      </c>
      <c r="K2" s="5">
        <v>0.42</v>
      </c>
      <c r="L2" s="5">
        <v>1219</v>
      </c>
      <c r="M2" s="5">
        <v>22.8</v>
      </c>
      <c r="N2" s="5">
        <v>11.65</v>
      </c>
      <c r="O2" s="5">
        <v>6.24</v>
      </c>
      <c r="P2" s="5">
        <v>0.68200000000000005</v>
      </c>
      <c r="Q2" s="5">
        <v>0</v>
      </c>
      <c r="R2" s="5" t="s">
        <v>156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</sheetData>
  <autoFilter ref="A1:R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24" customWidth="1"/>
    <col min="5" max="5" width="25" customWidth="1"/>
    <col min="6" max="6" width="22" customWidth="1"/>
    <col min="7" max="7" width="21" customWidth="1"/>
    <col min="8" max="8" width="16" customWidth="1"/>
    <col min="9" max="9" width="18" customWidth="1"/>
    <col min="10" max="10" width="20" customWidth="1"/>
  </cols>
  <sheetData>
    <row r="1" spans="1:10" ht="33.75" customHeight="1" x14ac:dyDescent="0.25">
      <c r="A1" s="4" t="s">
        <v>12</v>
      </c>
      <c r="B1" s="4" t="s">
        <v>90</v>
      </c>
      <c r="C1" s="4" t="s">
        <v>139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  <c r="I1" s="4" t="s">
        <v>162</v>
      </c>
      <c r="J1" s="4" t="s">
        <v>163</v>
      </c>
    </row>
    <row r="2" spans="1:10" x14ac:dyDescent="0.25">
      <c r="A2" s="5" t="s">
        <v>131</v>
      </c>
      <c r="B2" s="5" t="s">
        <v>107</v>
      </c>
      <c r="C2" s="5" t="s">
        <v>164</v>
      </c>
      <c r="D2" s="5">
        <v>16.059999999999999</v>
      </c>
      <c r="E2" s="5">
        <v>5.74</v>
      </c>
      <c r="F2" s="7">
        <f>D2-E2</f>
        <v>10.319999999999999</v>
      </c>
      <c r="G2" s="7">
        <f>IFERROR((D2-E2)/D2,"")</f>
        <v>0.64259028642590277</v>
      </c>
      <c r="H2" s="5">
        <v>5.41</v>
      </c>
      <c r="I2" s="5">
        <v>0.33</v>
      </c>
      <c r="J2" s="5">
        <f>H2+I2</f>
        <v>5.74</v>
      </c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</sheetData>
  <autoFilter ref="A1:J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24" customWidth="1"/>
    <col min="5" max="5" width="18" customWidth="1"/>
    <col min="6" max="6" width="17" customWidth="1"/>
    <col min="7" max="7" width="20" customWidth="1"/>
    <col min="8" max="8" width="19" customWidth="1"/>
    <col min="9" max="9" width="22" customWidth="1"/>
    <col min="10" max="10" width="24" customWidth="1"/>
    <col min="11" max="11" width="23" customWidth="1"/>
  </cols>
  <sheetData>
    <row r="1" spans="1:11" ht="33.75" customHeight="1" x14ac:dyDescent="0.25">
      <c r="A1" s="4" t="s">
        <v>12</v>
      </c>
      <c r="B1" s="4" t="s">
        <v>90</v>
      </c>
      <c r="C1" s="4" t="s">
        <v>139</v>
      </c>
      <c r="D1" s="4" t="s">
        <v>165</v>
      </c>
      <c r="E1" s="4" t="s">
        <v>166</v>
      </c>
      <c r="F1" s="4" t="s">
        <v>167</v>
      </c>
      <c r="G1" s="4" t="s">
        <v>168</v>
      </c>
      <c r="H1" s="4" t="s">
        <v>169</v>
      </c>
      <c r="I1" s="4" t="s">
        <v>170</v>
      </c>
      <c r="J1" s="4" t="s">
        <v>171</v>
      </c>
      <c r="K1" s="4" t="s">
        <v>172</v>
      </c>
    </row>
    <row r="2" spans="1:11" x14ac:dyDescent="0.25">
      <c r="A2" s="5" t="s">
        <v>131</v>
      </c>
      <c r="B2" s="5" t="s">
        <v>107</v>
      </c>
      <c r="C2" s="5" t="s">
        <v>164</v>
      </c>
      <c r="D2" s="5">
        <v>5.74</v>
      </c>
      <c r="E2" s="5">
        <v>6.81</v>
      </c>
      <c r="F2" s="5">
        <v>3.1</v>
      </c>
      <c r="G2" s="5">
        <v>0.26</v>
      </c>
      <c r="H2" s="5">
        <v>0.81</v>
      </c>
      <c r="I2" s="5">
        <f>E2+F2</f>
        <v>9.91</v>
      </c>
      <c r="J2" s="7">
        <v>10.59</v>
      </c>
      <c r="K2" s="7">
        <v>0.60860000000000003</v>
      </c>
    </row>
    <row r="3" spans="1:1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</sheetData>
  <autoFilter ref="A1:K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7" customWidth="1"/>
    <col min="5" max="5" width="18" customWidth="1"/>
    <col min="6" max="6" width="12" customWidth="1"/>
    <col min="7" max="7" width="18" customWidth="1"/>
    <col min="8" max="8" width="17" customWidth="1"/>
    <col min="9" max="9" width="26" customWidth="1"/>
    <col min="10" max="10" width="21" customWidth="1"/>
    <col min="11" max="11" width="24" customWidth="1"/>
    <col min="12" max="12" width="25" customWidth="1"/>
  </cols>
  <sheetData>
    <row r="1" spans="1:12" ht="33.75" customHeight="1" x14ac:dyDescent="0.25">
      <c r="A1" s="4" t="s">
        <v>12</v>
      </c>
      <c r="B1" s="4" t="s">
        <v>90</v>
      </c>
      <c r="C1" s="4" t="s">
        <v>139</v>
      </c>
      <c r="D1" s="4" t="s">
        <v>141</v>
      </c>
      <c r="E1" s="4" t="s">
        <v>142</v>
      </c>
      <c r="F1" s="4" t="s">
        <v>147</v>
      </c>
      <c r="G1" s="4" t="s">
        <v>148</v>
      </c>
      <c r="H1" s="4" t="s">
        <v>149</v>
      </c>
      <c r="I1" s="4" t="s">
        <v>173</v>
      </c>
      <c r="J1" s="4" t="s">
        <v>174</v>
      </c>
      <c r="K1" s="4" t="s">
        <v>175</v>
      </c>
      <c r="L1" s="4" t="s">
        <v>176</v>
      </c>
    </row>
    <row r="2" spans="1:12" x14ac:dyDescent="0.25">
      <c r="A2" s="5" t="s">
        <v>131</v>
      </c>
      <c r="B2" s="5" t="s">
        <v>107</v>
      </c>
      <c r="C2" s="5" t="s">
        <v>164</v>
      </c>
      <c r="D2" s="5">
        <v>512</v>
      </c>
      <c r="E2" s="5">
        <v>256</v>
      </c>
      <c r="F2" s="5">
        <v>0.51</v>
      </c>
      <c r="G2" s="5">
        <v>1004</v>
      </c>
      <c r="H2" s="5">
        <v>34.6</v>
      </c>
      <c r="I2" s="5">
        <v>7.91</v>
      </c>
      <c r="J2" s="5">
        <f>IFERROR(E2/I2,"")</f>
        <v>32.364096080910237</v>
      </c>
      <c r="K2" s="5">
        <v>1.52</v>
      </c>
      <c r="L2" s="5" t="s">
        <v>177</v>
      </c>
    </row>
    <row r="3" spans="1:1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</sheetData>
  <autoFilter ref="A1:L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7" customWidth="1"/>
    <col min="4" max="4" width="18" customWidth="1"/>
    <col min="5" max="5" width="12" customWidth="1"/>
    <col min="6" max="6" width="19" customWidth="1"/>
    <col min="7" max="7" width="18" customWidth="1"/>
    <col min="8" max="10" width="16" customWidth="1"/>
    <col min="11" max="11" width="21" customWidth="1"/>
    <col min="12" max="12" width="26" customWidth="1"/>
  </cols>
  <sheetData>
    <row r="1" spans="1:12" ht="33.75" customHeight="1" x14ac:dyDescent="0.25">
      <c r="A1" s="4" t="s">
        <v>12</v>
      </c>
      <c r="B1" s="4" t="s">
        <v>90</v>
      </c>
      <c r="C1" s="4" t="s">
        <v>178</v>
      </c>
      <c r="D1" s="4" t="s">
        <v>179</v>
      </c>
      <c r="E1" s="4" t="s">
        <v>147</v>
      </c>
      <c r="F1" s="4" t="s">
        <v>180</v>
      </c>
      <c r="G1" s="4" t="s">
        <v>150</v>
      </c>
      <c r="H1" s="4" t="s">
        <v>181</v>
      </c>
      <c r="I1" s="4" t="s">
        <v>182</v>
      </c>
      <c r="J1" s="4" t="s">
        <v>183</v>
      </c>
      <c r="K1" s="4" t="s">
        <v>184</v>
      </c>
      <c r="L1" s="4" t="s">
        <v>185</v>
      </c>
    </row>
    <row r="2" spans="1:12" x14ac:dyDescent="0.25">
      <c r="A2" s="5" t="s">
        <v>131</v>
      </c>
      <c r="B2" s="5" t="s">
        <v>107</v>
      </c>
      <c r="C2" s="5">
        <v>512</v>
      </c>
      <c r="D2" s="5">
        <v>256</v>
      </c>
      <c r="E2" s="5">
        <v>0.51</v>
      </c>
      <c r="F2" s="5">
        <f>IFERROR((G2-E2)/D2,"")</f>
        <v>2.8906250000000001E-2</v>
      </c>
      <c r="G2" s="5">
        <v>7.91</v>
      </c>
      <c r="H2" s="5">
        <v>7.84</v>
      </c>
      <c r="I2" s="5">
        <v>8.42</v>
      </c>
      <c r="J2" s="5">
        <v>8.9</v>
      </c>
      <c r="K2" s="5">
        <v>11.65</v>
      </c>
      <c r="L2" s="7">
        <f>IFERROR((K2-G2)/K2,"")</f>
        <v>0.32103004291845494</v>
      </c>
    </row>
    <row r="3" spans="1:1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</sheetData>
  <autoFilter ref="A1:L1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9" customWidth="1"/>
    <col min="5" max="5" width="17" customWidth="1"/>
    <col min="6" max="6" width="18" customWidth="1"/>
    <col min="7" max="7" width="17" customWidth="1"/>
    <col min="8" max="8" width="18" customWidth="1"/>
    <col min="9" max="9" width="16" customWidth="1"/>
    <col min="10" max="10" width="17" customWidth="1"/>
    <col min="11" max="11" width="26" customWidth="1"/>
    <col min="12" max="12" width="25" customWidth="1"/>
    <col min="13" max="13" width="15" customWidth="1"/>
    <col min="14" max="14" width="12" customWidth="1"/>
  </cols>
  <sheetData>
    <row r="1" spans="1:14" ht="33.75" customHeight="1" x14ac:dyDescent="0.25">
      <c r="A1" s="4" t="s">
        <v>12</v>
      </c>
      <c r="B1" s="4" t="s">
        <v>90</v>
      </c>
      <c r="C1" s="4" t="s">
        <v>139</v>
      </c>
      <c r="D1" s="4" t="s">
        <v>49</v>
      </c>
      <c r="E1" s="4" t="s">
        <v>141</v>
      </c>
      <c r="F1" s="4" t="s">
        <v>142</v>
      </c>
      <c r="G1" s="4" t="s">
        <v>186</v>
      </c>
      <c r="H1" s="4" t="s">
        <v>148</v>
      </c>
      <c r="I1" s="4" t="s">
        <v>187</v>
      </c>
      <c r="J1" s="4" t="s">
        <v>149</v>
      </c>
      <c r="K1" s="4" t="s">
        <v>188</v>
      </c>
      <c r="L1" s="4" t="s">
        <v>189</v>
      </c>
      <c r="M1" s="4" t="s">
        <v>190</v>
      </c>
      <c r="N1" s="4" t="s">
        <v>55</v>
      </c>
    </row>
    <row r="2" spans="1:14" ht="51" x14ac:dyDescent="0.25">
      <c r="A2" s="5" t="s">
        <v>131</v>
      </c>
      <c r="B2" s="5" t="s">
        <v>107</v>
      </c>
      <c r="C2" s="5" t="s">
        <v>164</v>
      </c>
      <c r="D2" s="5">
        <v>2048</v>
      </c>
      <c r="E2" s="5">
        <v>512</v>
      </c>
      <c r="F2" s="5">
        <v>256</v>
      </c>
      <c r="G2" s="5">
        <v>0.51</v>
      </c>
      <c r="H2" s="5">
        <f>IFERROR(E2/G2,"")</f>
        <v>1003.9215686274509</v>
      </c>
      <c r="I2" s="5">
        <v>7.4</v>
      </c>
      <c r="J2" s="5">
        <f>IFERROR(F2/I2,"")</f>
        <v>34.594594594594589</v>
      </c>
      <c r="K2" s="5">
        <v>6.95</v>
      </c>
      <c r="L2" s="5">
        <v>6.81</v>
      </c>
      <c r="M2" s="5" t="s">
        <v>191</v>
      </c>
      <c r="N2" s="5" t="s">
        <v>192</v>
      </c>
    </row>
    <row r="3" spans="1:1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</sheetData>
  <autoFilter ref="A1:N1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3" width="12" customWidth="1"/>
    <col min="4" max="4" width="14" customWidth="1"/>
    <col min="5" max="5" width="12" customWidth="1"/>
    <col min="6" max="6" width="18" customWidth="1"/>
    <col min="7" max="7" width="21" customWidth="1"/>
    <col min="8" max="8" width="15" customWidth="1"/>
    <col min="9" max="9" width="24" customWidth="1"/>
    <col min="10" max="11" width="17" customWidth="1"/>
    <col min="12" max="12" width="12" customWidth="1"/>
  </cols>
  <sheetData>
    <row r="1" spans="1:12" ht="33.75" customHeight="1" x14ac:dyDescent="0.25">
      <c r="A1" s="4" t="s">
        <v>12</v>
      </c>
      <c r="B1" s="4" t="s">
        <v>119</v>
      </c>
      <c r="C1" s="4" t="s">
        <v>90</v>
      </c>
      <c r="D1" s="4" t="s">
        <v>139</v>
      </c>
      <c r="E1" s="4" t="s">
        <v>193</v>
      </c>
      <c r="F1" s="4" t="s">
        <v>194</v>
      </c>
      <c r="G1" s="4" t="s">
        <v>195</v>
      </c>
      <c r="H1" s="4" t="s">
        <v>151</v>
      </c>
      <c r="I1" s="4" t="s">
        <v>196</v>
      </c>
      <c r="J1" s="4" t="s">
        <v>197</v>
      </c>
      <c r="K1" s="4" t="s">
        <v>198</v>
      </c>
      <c r="L1" s="4" t="s">
        <v>55</v>
      </c>
    </row>
    <row r="2" spans="1:12" ht="25.5" x14ac:dyDescent="0.25">
      <c r="A2" s="5" t="s">
        <v>131</v>
      </c>
      <c r="B2" s="5" t="s">
        <v>56</v>
      </c>
      <c r="C2" s="5" t="s">
        <v>107</v>
      </c>
      <c r="D2" s="5" t="s">
        <v>164</v>
      </c>
      <c r="E2" s="5" t="s">
        <v>199</v>
      </c>
      <c r="F2" s="5" t="s">
        <v>200</v>
      </c>
      <c r="G2" s="5">
        <v>287645</v>
      </c>
      <c r="H2" s="5">
        <v>6.51</v>
      </c>
      <c r="I2" s="5">
        <v>6.24</v>
      </c>
      <c r="J2" s="5">
        <f>H2-I2</f>
        <v>0.26999999999999957</v>
      </c>
      <c r="K2" s="7">
        <f>IFERROR((H2-I2)/I2,"")</f>
        <v>4.3269230769230699E-2</v>
      </c>
      <c r="L2" s="5" t="s">
        <v>201</v>
      </c>
    </row>
    <row r="3" spans="1:1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</sheetData>
  <autoFilter ref="A1:L1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3" width="12" customWidth="1"/>
    <col min="4" max="5" width="14" customWidth="1"/>
    <col min="6" max="8" width="12" customWidth="1"/>
    <col min="9" max="9" width="13" customWidth="1"/>
    <col min="10" max="10" width="22" customWidth="1"/>
    <col min="11" max="11" width="18" customWidth="1"/>
    <col min="12" max="12" width="25" customWidth="1"/>
  </cols>
  <sheetData>
    <row r="1" spans="1:12" ht="33.75" customHeight="1" x14ac:dyDescent="0.25">
      <c r="A1" s="4" t="s">
        <v>12</v>
      </c>
      <c r="B1" s="4" t="s">
        <v>119</v>
      </c>
      <c r="C1" s="4" t="s">
        <v>90</v>
      </c>
      <c r="D1" s="4" t="s">
        <v>139</v>
      </c>
      <c r="E1" s="4" t="s">
        <v>202</v>
      </c>
      <c r="F1" s="4" t="s">
        <v>203</v>
      </c>
      <c r="G1" s="4" t="s">
        <v>204</v>
      </c>
      <c r="H1" s="4" t="s">
        <v>205</v>
      </c>
      <c r="I1" s="4" t="s">
        <v>206</v>
      </c>
      <c r="J1" s="4" t="s">
        <v>207</v>
      </c>
      <c r="K1" s="4" t="s">
        <v>208</v>
      </c>
      <c r="L1" s="4" t="s">
        <v>209</v>
      </c>
    </row>
    <row r="2" spans="1:12" ht="25.5" x14ac:dyDescent="0.25">
      <c r="A2" s="5" t="s">
        <v>131</v>
      </c>
      <c r="B2" s="5" t="s">
        <v>56</v>
      </c>
      <c r="C2" s="5" t="s">
        <v>107</v>
      </c>
      <c r="D2" s="5" t="s">
        <v>164</v>
      </c>
      <c r="E2" s="5" t="s">
        <v>210</v>
      </c>
      <c r="F2" s="5" t="s">
        <v>211</v>
      </c>
      <c r="G2" s="5">
        <v>14042</v>
      </c>
      <c r="H2" s="5">
        <v>9385</v>
      </c>
      <c r="I2" s="7">
        <f>IFERROR(H2/G2,"")</f>
        <v>0.66835208659735079</v>
      </c>
      <c r="J2" s="7">
        <v>0.68200000000000005</v>
      </c>
      <c r="K2" s="8">
        <f>J2-I2</f>
        <v>1.3647913402649259E-2</v>
      </c>
      <c r="L2" s="7">
        <f>IFERROR(I2/J2,"")</f>
        <v>0.97998839677030902</v>
      </c>
    </row>
    <row r="3" spans="1:1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</sheetData>
  <autoFilter ref="A1:L1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21" customWidth="1"/>
    <col min="5" max="5" width="22" customWidth="1"/>
    <col min="6" max="6" width="26" customWidth="1"/>
    <col min="7" max="7" width="24" customWidth="1"/>
    <col min="8" max="8" width="23" customWidth="1"/>
    <col min="9" max="9" width="24" customWidth="1"/>
    <col min="10" max="10" width="29" customWidth="1"/>
  </cols>
  <sheetData>
    <row r="1" spans="1:10" ht="33.75" customHeight="1" x14ac:dyDescent="0.25">
      <c r="A1" s="4" t="s">
        <v>12</v>
      </c>
      <c r="B1" s="4" t="s">
        <v>90</v>
      </c>
      <c r="C1" s="4" t="s">
        <v>139</v>
      </c>
      <c r="D1" s="4" t="s">
        <v>212</v>
      </c>
      <c r="E1" s="4" t="s">
        <v>213</v>
      </c>
      <c r="F1" s="4" t="s">
        <v>214</v>
      </c>
      <c r="G1" s="4" t="s">
        <v>215</v>
      </c>
      <c r="H1" s="4" t="s">
        <v>172</v>
      </c>
      <c r="I1" s="4" t="s">
        <v>216</v>
      </c>
      <c r="J1" s="4" t="s">
        <v>217</v>
      </c>
    </row>
    <row r="2" spans="1:10" x14ac:dyDescent="0.25">
      <c r="A2" s="5" t="s">
        <v>131</v>
      </c>
      <c r="B2" s="5" t="s">
        <v>107</v>
      </c>
      <c r="C2" s="5" t="s">
        <v>164</v>
      </c>
      <c r="D2" s="5">
        <v>0.68200000000000005</v>
      </c>
      <c r="E2" s="5">
        <v>0.66800000000000004</v>
      </c>
      <c r="F2" s="7">
        <f>D2-E2</f>
        <v>1.4000000000000012E-2</v>
      </c>
      <c r="G2" s="7">
        <f>IFERROR(E2/D2,"")</f>
        <v>0.97947214076246336</v>
      </c>
      <c r="H2" s="7">
        <v>0.60860000000000003</v>
      </c>
      <c r="I2" s="7">
        <v>0.51749999999999996</v>
      </c>
      <c r="J2" s="5">
        <f>IFERROR(G2*(1+H2)*(1+I2),"")</f>
        <v>2.3909409589442818</v>
      </c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</sheetData>
  <autoFilter ref="A1:J1" xr:uid="{00000000-0009-0000-0000-00000D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4" width="12" customWidth="1"/>
    <col min="5" max="6" width="17" customWidth="1"/>
    <col min="7" max="8" width="18" customWidth="1"/>
    <col min="9" max="11" width="12" customWidth="1"/>
    <col min="12" max="12" width="23" customWidth="1"/>
    <col min="13" max="13" width="19" customWidth="1"/>
    <col min="14" max="14" width="23" customWidth="1"/>
    <col min="15" max="15" width="12" customWidth="1"/>
  </cols>
  <sheetData>
    <row r="1" spans="1:15" ht="33.75" customHeight="1" x14ac:dyDescent="0.25">
      <c r="A1" s="4" t="s">
        <v>12</v>
      </c>
      <c r="B1" s="4" t="s">
        <v>90</v>
      </c>
      <c r="C1" s="4" t="s">
        <v>218</v>
      </c>
      <c r="D1" s="4" t="s">
        <v>219</v>
      </c>
      <c r="E1" s="4" t="s">
        <v>220</v>
      </c>
      <c r="F1" s="4" t="s">
        <v>221</v>
      </c>
      <c r="G1" s="4" t="s">
        <v>222</v>
      </c>
      <c r="H1" s="4" t="s">
        <v>223</v>
      </c>
      <c r="I1" s="4" t="s">
        <v>224</v>
      </c>
      <c r="J1" s="4" t="s">
        <v>225</v>
      </c>
      <c r="K1" s="4" t="s">
        <v>226</v>
      </c>
      <c r="L1" s="4" t="s">
        <v>227</v>
      </c>
      <c r="M1" s="4" t="s">
        <v>228</v>
      </c>
      <c r="N1" s="4" t="s">
        <v>229</v>
      </c>
      <c r="O1" s="4" t="s">
        <v>55</v>
      </c>
    </row>
    <row r="2" spans="1:15" ht="51" x14ac:dyDescent="0.25">
      <c r="A2" s="5" t="s">
        <v>131</v>
      </c>
      <c r="B2" s="5" t="s">
        <v>107</v>
      </c>
      <c r="C2" s="5">
        <v>15</v>
      </c>
      <c r="D2" s="5" t="s">
        <v>230</v>
      </c>
      <c r="E2" s="5">
        <v>-0.1842</v>
      </c>
      <c r="F2" s="5">
        <v>0.17910000000000001</v>
      </c>
      <c r="G2" s="5">
        <v>-0.18360000000000001</v>
      </c>
      <c r="H2" s="5">
        <v>0.17849999999999999</v>
      </c>
      <c r="I2" s="5">
        <v>1.31E-3</v>
      </c>
      <c r="J2" s="5">
        <v>3.4000000000000001E-6</v>
      </c>
      <c r="K2" s="5">
        <f>IFERROR(SQRT(J2),"")</f>
        <v>1.8439088914585775E-3</v>
      </c>
      <c r="L2" s="5">
        <v>1.4800000000000001E-2</v>
      </c>
      <c r="M2" s="5">
        <v>9.1000000000000004E-3</v>
      </c>
      <c r="N2" s="5">
        <f>H2-G2</f>
        <v>0.36209999999999998</v>
      </c>
      <c r="O2" s="5" t="s">
        <v>231</v>
      </c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</sheetData>
  <autoFilter ref="A1:O1" xr:uid="{00000000-0009-0000-0000-00000E000000}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7" customWidth="1"/>
    <col min="3" max="3" width="15" customWidth="1"/>
    <col min="4" max="4" width="14" customWidth="1"/>
    <col min="5" max="5" width="24" customWidth="1"/>
    <col min="6" max="6" width="25" customWidth="1"/>
    <col min="7" max="7" width="17" customWidth="1"/>
    <col min="8" max="8" width="18" customWidth="1"/>
    <col min="9" max="9" width="15" customWidth="1"/>
    <col min="10" max="10" width="21" customWidth="1"/>
    <col min="11" max="11" width="22" customWidth="1"/>
    <col min="12" max="12" width="21" customWidth="1"/>
    <col min="13" max="13" width="26" customWidth="1"/>
  </cols>
  <sheetData>
    <row r="1" spans="1:13" ht="33.75" customHeight="1" x14ac:dyDescent="0.25">
      <c r="A1" s="4" t="s">
        <v>12</v>
      </c>
      <c r="B1" s="4" t="s">
        <v>232</v>
      </c>
      <c r="C1" s="4" t="s">
        <v>233</v>
      </c>
      <c r="D1" s="4" t="s">
        <v>139</v>
      </c>
      <c r="E1" s="4" t="s">
        <v>196</v>
      </c>
      <c r="F1" s="4" t="s">
        <v>234</v>
      </c>
      <c r="G1" s="4" t="s">
        <v>197</v>
      </c>
      <c r="H1" s="4" t="s">
        <v>208</v>
      </c>
      <c r="I1" s="4" t="s">
        <v>235</v>
      </c>
      <c r="J1" s="4" t="s">
        <v>236</v>
      </c>
      <c r="K1" s="4" t="s">
        <v>237</v>
      </c>
      <c r="L1" s="4" t="s">
        <v>238</v>
      </c>
      <c r="M1" s="4" t="s">
        <v>239</v>
      </c>
    </row>
    <row r="2" spans="1:13" ht="25.5" x14ac:dyDescent="0.25">
      <c r="A2" s="5" t="s">
        <v>131</v>
      </c>
      <c r="B2" s="5">
        <v>0</v>
      </c>
      <c r="C2" s="5" t="s">
        <v>240</v>
      </c>
      <c r="D2" s="5" t="s">
        <v>241</v>
      </c>
      <c r="E2" s="5">
        <v>6.24</v>
      </c>
      <c r="F2" s="5">
        <v>7.08</v>
      </c>
      <c r="G2" s="5">
        <f>F2-E2</f>
        <v>0.83999999999999986</v>
      </c>
      <c r="H2" s="5">
        <v>3.1E-2</v>
      </c>
      <c r="I2" s="5">
        <v>2.14E-3</v>
      </c>
      <c r="J2" s="5">
        <v>1.8200000000000001E-2</v>
      </c>
      <c r="K2" s="5">
        <f>IFERROR(G2/E2,"")</f>
        <v>0.13461538461538458</v>
      </c>
      <c r="L2" s="5">
        <v>1</v>
      </c>
      <c r="M2" s="5" t="s">
        <v>242</v>
      </c>
    </row>
    <row r="3" spans="1:1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spans="1:13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</sheetData>
  <autoFilter ref="A1:M1" xr:uid="{00000000-0009-0000-0000-00000F000000}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8" width="12" customWidth="1"/>
    <col min="9" max="9" width="17" customWidth="1"/>
    <col min="10" max="10" width="18" customWidth="1"/>
    <col min="11" max="11" width="20" customWidth="1"/>
    <col min="12" max="12" width="18" customWidth="1"/>
    <col min="13" max="13" width="14" customWidth="1"/>
    <col min="14" max="14" width="34" customWidth="1"/>
    <col min="15" max="15" width="12" customWidth="1"/>
  </cols>
  <sheetData>
    <row r="1" spans="1:15" ht="33.75" customHeight="1" x14ac:dyDescent="0.25">
      <c r="A1" s="4" t="s">
        <v>12</v>
      </c>
      <c r="B1" s="4" t="s">
        <v>218</v>
      </c>
      <c r="C1" s="4" t="s">
        <v>219</v>
      </c>
      <c r="D1" s="4" t="s">
        <v>193</v>
      </c>
      <c r="E1" s="4" t="s">
        <v>243</v>
      </c>
      <c r="F1" s="4" t="s">
        <v>244</v>
      </c>
      <c r="G1" s="4" t="s">
        <v>245</v>
      </c>
      <c r="H1" s="4" t="s">
        <v>246</v>
      </c>
      <c r="I1" s="4" t="s">
        <v>247</v>
      </c>
      <c r="J1" s="4" t="s">
        <v>248</v>
      </c>
      <c r="K1" s="4" t="s">
        <v>249</v>
      </c>
      <c r="L1" s="4" t="s">
        <v>250</v>
      </c>
      <c r="M1" s="4" t="s">
        <v>251</v>
      </c>
      <c r="N1" s="4" t="s">
        <v>252</v>
      </c>
      <c r="O1" s="4" t="s">
        <v>55</v>
      </c>
    </row>
    <row r="2" spans="1:15" ht="89.25" x14ac:dyDescent="0.25">
      <c r="A2" s="5" t="s">
        <v>131</v>
      </c>
      <c r="B2" s="5">
        <v>20</v>
      </c>
      <c r="C2" s="5" t="s">
        <v>253</v>
      </c>
      <c r="D2" s="5" t="s">
        <v>254</v>
      </c>
      <c r="E2" s="5">
        <v>-41.6</v>
      </c>
      <c r="F2" s="5">
        <v>58.3</v>
      </c>
      <c r="G2" s="5">
        <v>1.2E-2</v>
      </c>
      <c r="H2" s="5">
        <v>1.84</v>
      </c>
      <c r="I2" s="5">
        <v>58.3</v>
      </c>
      <c r="J2" s="5">
        <v>6.12</v>
      </c>
      <c r="K2" s="5">
        <v>18.739999999999998</v>
      </c>
      <c r="L2" s="5">
        <v>3142</v>
      </c>
      <c r="M2" s="7">
        <v>2.0999999999999999E-3</v>
      </c>
      <c r="N2" s="5">
        <v>3.7400000000000003E-2</v>
      </c>
      <c r="O2" s="5" t="s">
        <v>255</v>
      </c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</sheetData>
  <autoFilter ref="A1:O1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8" width="12" customWidth="1"/>
    <col min="9" max="9" width="17" customWidth="1"/>
    <col min="10" max="10" width="18" customWidth="1"/>
    <col min="11" max="11" width="20" customWidth="1"/>
    <col min="12" max="13" width="18" customWidth="1"/>
    <col min="14" max="15" width="15" customWidth="1"/>
    <col min="16" max="16" width="12" customWidth="1"/>
  </cols>
  <sheetData>
    <row r="1" spans="1:16" ht="33.75" customHeight="1" x14ac:dyDescent="0.25">
      <c r="A1" s="4" t="s">
        <v>12</v>
      </c>
      <c r="B1" s="4" t="s">
        <v>218</v>
      </c>
      <c r="C1" s="4" t="s">
        <v>219</v>
      </c>
      <c r="D1" s="4" t="s">
        <v>243</v>
      </c>
      <c r="E1" s="4" t="s">
        <v>244</v>
      </c>
      <c r="F1" s="4" t="s">
        <v>245</v>
      </c>
      <c r="G1" s="4" t="s">
        <v>246</v>
      </c>
      <c r="H1" s="4" t="s">
        <v>256</v>
      </c>
      <c r="I1" s="4" t="s">
        <v>247</v>
      </c>
      <c r="J1" s="4" t="s">
        <v>248</v>
      </c>
      <c r="K1" s="4" t="s">
        <v>249</v>
      </c>
      <c r="L1" s="4" t="s">
        <v>250</v>
      </c>
      <c r="M1" s="4" t="s">
        <v>257</v>
      </c>
      <c r="N1" s="4" t="s">
        <v>235</v>
      </c>
      <c r="O1" s="4" t="s">
        <v>258</v>
      </c>
      <c r="P1" s="4" t="s">
        <v>55</v>
      </c>
    </row>
    <row r="2" spans="1:16" ht="25.5" x14ac:dyDescent="0.25">
      <c r="A2" s="5" t="s">
        <v>131</v>
      </c>
      <c r="B2" s="5">
        <v>20</v>
      </c>
      <c r="C2" s="5" t="s">
        <v>230</v>
      </c>
      <c r="D2" s="5">
        <v>-0.1842</v>
      </c>
      <c r="E2" s="5">
        <v>0.17910000000000001</v>
      </c>
      <c r="F2" s="5">
        <v>-2.0000000000000002E-5</v>
      </c>
      <c r="G2" s="5">
        <v>1.9800000000000002E-2</v>
      </c>
      <c r="H2" s="5">
        <v>-1.0000000000000001E-5</v>
      </c>
      <c r="I2" s="5">
        <v>0.1842</v>
      </c>
      <c r="J2" s="5">
        <v>5.21E-2</v>
      </c>
      <c r="K2" s="5">
        <v>8.9399999999999993E-2</v>
      </c>
      <c r="L2" s="5">
        <v>8431</v>
      </c>
      <c r="M2" s="7">
        <v>4.0000000000000002E-4</v>
      </c>
      <c r="N2" s="5">
        <v>1.31E-3</v>
      </c>
      <c r="O2" s="5">
        <v>3.4000000000000001E-6</v>
      </c>
      <c r="P2" s="5" t="s">
        <v>259</v>
      </c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</sheetData>
  <autoFilter ref="A1:P1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5" width="15" customWidth="1"/>
    <col min="6" max="6" width="18" customWidth="1"/>
    <col min="7" max="7" width="15" customWidth="1"/>
    <col min="8" max="8" width="13" customWidth="1"/>
    <col min="9" max="9" width="14" customWidth="1"/>
    <col min="10" max="10" width="12" customWidth="1"/>
    <col min="11" max="11" width="18" customWidth="1"/>
    <col min="12" max="12" width="17" customWidth="1"/>
    <col min="13" max="13" width="22" customWidth="1"/>
    <col min="14" max="14" width="18" customWidth="1"/>
  </cols>
  <sheetData>
    <row r="1" spans="1:14" ht="33.75" customHeight="1" x14ac:dyDescent="0.25">
      <c r="A1" s="4" t="s">
        <v>12</v>
      </c>
      <c r="B1" s="4" t="s">
        <v>90</v>
      </c>
      <c r="C1" s="4" t="s">
        <v>96</v>
      </c>
      <c r="D1" s="4" t="s">
        <v>99</v>
      </c>
      <c r="E1" s="4" t="s">
        <v>144</v>
      </c>
      <c r="F1" s="4" t="s">
        <v>162</v>
      </c>
      <c r="G1" s="4" t="s">
        <v>151</v>
      </c>
      <c r="H1" s="4" t="s">
        <v>206</v>
      </c>
      <c r="I1" s="4" t="s">
        <v>145</v>
      </c>
      <c r="J1" s="4" t="s">
        <v>147</v>
      </c>
      <c r="K1" s="4" t="s">
        <v>148</v>
      </c>
      <c r="L1" s="4" t="s">
        <v>149</v>
      </c>
      <c r="M1" s="4" t="s">
        <v>260</v>
      </c>
      <c r="N1" s="4" t="s">
        <v>261</v>
      </c>
    </row>
    <row r="2" spans="1:14" x14ac:dyDescent="0.25">
      <c r="A2" s="5" t="s">
        <v>131</v>
      </c>
      <c r="B2" s="5" t="s">
        <v>107</v>
      </c>
      <c r="C2" s="5">
        <v>4</v>
      </c>
      <c r="D2" s="5">
        <v>128</v>
      </c>
      <c r="E2" s="5">
        <v>5.74</v>
      </c>
      <c r="F2" s="5">
        <v>0.33</v>
      </c>
      <c r="G2" s="5">
        <v>6.51</v>
      </c>
      <c r="H2" s="7">
        <v>0.66800000000000004</v>
      </c>
      <c r="I2" s="5">
        <v>6.81</v>
      </c>
      <c r="J2" s="5">
        <v>0.51</v>
      </c>
      <c r="K2" s="5">
        <v>1004</v>
      </c>
      <c r="L2" s="5">
        <v>34.6</v>
      </c>
      <c r="M2" s="7">
        <v>0.97950000000000004</v>
      </c>
      <c r="N2" s="5">
        <v>0.88</v>
      </c>
    </row>
    <row r="3" spans="1:1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</sheetData>
  <autoFilter ref="A1:N1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24" customWidth="1"/>
    <col min="4" max="6" width="12" customWidth="1"/>
    <col min="7" max="7" width="20" customWidth="1"/>
    <col min="8" max="8" width="22" customWidth="1"/>
    <col min="9" max="9" width="15" customWidth="1"/>
    <col min="10" max="10" width="13" customWidth="1"/>
    <col min="11" max="11" width="17" customWidth="1"/>
    <col min="12" max="12" width="15" customWidth="1"/>
    <col min="13" max="13" width="20" customWidth="1"/>
    <col min="14" max="14" width="12" customWidth="1"/>
  </cols>
  <sheetData>
    <row r="1" spans="1:14" ht="33.75" customHeight="1" x14ac:dyDescent="0.25">
      <c r="A1" s="4" t="s">
        <v>12</v>
      </c>
      <c r="B1" s="4" t="s">
        <v>90</v>
      </c>
      <c r="C1" s="4" t="s">
        <v>124</v>
      </c>
      <c r="D1" s="4" t="s">
        <v>262</v>
      </c>
      <c r="E1" s="4" t="s">
        <v>204</v>
      </c>
      <c r="F1" s="4" t="s">
        <v>263</v>
      </c>
      <c r="G1" s="4" t="s">
        <v>264</v>
      </c>
      <c r="H1" s="4" t="s">
        <v>265</v>
      </c>
      <c r="I1" s="4" t="s">
        <v>151</v>
      </c>
      <c r="J1" s="4" t="s">
        <v>206</v>
      </c>
      <c r="K1" s="4" t="s">
        <v>266</v>
      </c>
      <c r="L1" s="4" t="s">
        <v>144</v>
      </c>
      <c r="M1" s="4" t="s">
        <v>267</v>
      </c>
      <c r="N1" s="4" t="s">
        <v>55</v>
      </c>
    </row>
    <row r="2" spans="1:14" ht="63.75" x14ac:dyDescent="0.25">
      <c r="A2" s="5" t="s">
        <v>131</v>
      </c>
      <c r="B2" s="5" t="s">
        <v>107</v>
      </c>
      <c r="C2" s="5" t="s">
        <v>133</v>
      </c>
      <c r="D2" s="5" t="s">
        <v>268</v>
      </c>
      <c r="E2" s="5">
        <v>128</v>
      </c>
      <c r="F2" s="5">
        <v>262144</v>
      </c>
      <c r="G2" s="5">
        <v>2048</v>
      </c>
      <c r="H2" s="5">
        <v>1284</v>
      </c>
      <c r="I2" s="5">
        <v>6.51</v>
      </c>
      <c r="J2" s="7">
        <v>0.66800000000000004</v>
      </c>
      <c r="K2" s="7">
        <v>1.4E-2</v>
      </c>
      <c r="L2" s="5">
        <v>5.74</v>
      </c>
      <c r="M2" s="5">
        <v>34.6</v>
      </c>
      <c r="N2" s="5" t="s">
        <v>269</v>
      </c>
    </row>
    <row r="3" spans="1:1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</sheetData>
  <autoFilter ref="A1:N1" xr:uid="{00000000-0009-0000-0000-000013000000}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9" customWidth="1"/>
    <col min="5" max="5" width="17" customWidth="1"/>
    <col min="6" max="6" width="18" customWidth="1"/>
    <col min="7" max="7" width="12" customWidth="1"/>
    <col min="8" max="8" width="18" customWidth="1"/>
    <col min="9" max="9" width="17" customWidth="1"/>
    <col min="10" max="10" width="14" customWidth="1"/>
    <col min="11" max="12" width="13" customWidth="1"/>
    <col min="13" max="13" width="18" customWidth="1"/>
    <col min="14" max="14" width="25" customWidth="1"/>
    <col min="15" max="15" width="12" customWidth="1"/>
  </cols>
  <sheetData>
    <row r="1" spans="1:15" ht="33.75" customHeight="1" x14ac:dyDescent="0.25">
      <c r="A1" s="4" t="s">
        <v>12</v>
      </c>
      <c r="B1" s="4" t="s">
        <v>90</v>
      </c>
      <c r="C1" s="4" t="s">
        <v>139</v>
      </c>
      <c r="D1" s="4" t="s">
        <v>49</v>
      </c>
      <c r="E1" s="4" t="s">
        <v>141</v>
      </c>
      <c r="F1" s="4" t="s">
        <v>142</v>
      </c>
      <c r="G1" s="4" t="s">
        <v>147</v>
      </c>
      <c r="H1" s="4" t="s">
        <v>148</v>
      </c>
      <c r="I1" s="4" t="s">
        <v>149</v>
      </c>
      <c r="J1" s="4" t="s">
        <v>145</v>
      </c>
      <c r="K1" s="4" t="s">
        <v>146</v>
      </c>
      <c r="L1" s="4" t="s">
        <v>270</v>
      </c>
      <c r="M1" s="4" t="s">
        <v>150</v>
      </c>
      <c r="N1" s="4" t="s">
        <v>271</v>
      </c>
      <c r="O1" s="4" t="s">
        <v>55</v>
      </c>
    </row>
    <row r="2" spans="1:15" ht="51" x14ac:dyDescent="0.25">
      <c r="A2" s="5" t="s">
        <v>131</v>
      </c>
      <c r="B2" s="5" t="s">
        <v>107</v>
      </c>
      <c r="C2" s="5" t="s">
        <v>164</v>
      </c>
      <c r="D2" s="5">
        <v>8192</v>
      </c>
      <c r="E2" s="5">
        <v>8192</v>
      </c>
      <c r="F2" s="5">
        <v>256</v>
      </c>
      <c r="G2" s="5">
        <v>6.84</v>
      </c>
      <c r="H2" s="5">
        <v>1197</v>
      </c>
      <c r="I2" s="5">
        <v>29.4</v>
      </c>
      <c r="J2" s="5">
        <v>7.62</v>
      </c>
      <c r="K2" s="5">
        <v>3.2</v>
      </c>
      <c r="L2" s="5">
        <v>1.02</v>
      </c>
      <c r="M2" s="5">
        <v>15.55</v>
      </c>
      <c r="N2" s="5">
        <v>6.58</v>
      </c>
      <c r="O2" s="5" t="s">
        <v>272</v>
      </c>
    </row>
    <row r="3" spans="1: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</sheetData>
  <autoFilter ref="A1:O1" xr:uid="{00000000-0009-0000-0000-000014000000}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21" customWidth="1"/>
    <col min="4" max="4" width="17" customWidth="1"/>
    <col min="5" max="5" width="19" customWidth="1"/>
    <col min="6" max="6" width="23" customWidth="1"/>
    <col min="7" max="7" width="19" customWidth="1"/>
    <col min="8" max="8" width="18" customWidth="1"/>
    <col min="9" max="9" width="14" customWidth="1"/>
    <col min="10" max="10" width="18" customWidth="1"/>
    <col min="11" max="11" width="17" customWidth="1"/>
    <col min="12" max="13" width="12" customWidth="1"/>
  </cols>
  <sheetData>
    <row r="1" spans="1:13" ht="33.75" customHeight="1" x14ac:dyDescent="0.25">
      <c r="A1" s="4" t="s">
        <v>12</v>
      </c>
      <c r="B1" s="4" t="s">
        <v>90</v>
      </c>
      <c r="C1" s="4" t="s">
        <v>273</v>
      </c>
      <c r="D1" s="4" t="s">
        <v>274</v>
      </c>
      <c r="E1" s="4" t="s">
        <v>49</v>
      </c>
      <c r="F1" s="4" t="s">
        <v>275</v>
      </c>
      <c r="G1" s="4" t="s">
        <v>276</v>
      </c>
      <c r="H1" s="4" t="s">
        <v>277</v>
      </c>
      <c r="I1" s="4" t="s">
        <v>145</v>
      </c>
      <c r="J1" s="4" t="s">
        <v>278</v>
      </c>
      <c r="K1" s="4" t="s">
        <v>149</v>
      </c>
      <c r="L1" s="4" t="s">
        <v>279</v>
      </c>
      <c r="M1" s="4" t="s">
        <v>55</v>
      </c>
    </row>
    <row r="2" spans="1:13" ht="51" x14ac:dyDescent="0.25">
      <c r="A2" s="5" t="s">
        <v>280</v>
      </c>
      <c r="B2" s="5" t="s">
        <v>281</v>
      </c>
      <c r="C2" s="5" t="s">
        <v>241</v>
      </c>
      <c r="D2" s="5" t="s">
        <v>282</v>
      </c>
      <c r="E2" s="5">
        <v>8192</v>
      </c>
      <c r="F2" s="5">
        <v>8</v>
      </c>
      <c r="G2" s="5">
        <v>128</v>
      </c>
      <c r="H2" s="5">
        <v>0.51</v>
      </c>
      <c r="I2" s="5">
        <v>7.11</v>
      </c>
      <c r="J2" s="5">
        <v>6.2000000000000003E-5</v>
      </c>
      <c r="K2" s="5">
        <v>31.8</v>
      </c>
      <c r="L2" s="5">
        <v>6.6</v>
      </c>
      <c r="M2" s="5" t="s">
        <v>283</v>
      </c>
    </row>
    <row r="3" spans="1:1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spans="1:13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</sheetData>
  <autoFilter ref="A1:M1" xr:uid="{00000000-0009-0000-0000-000015000000}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28" customWidth="1"/>
    <col min="5" max="5" width="25" customWidth="1"/>
    <col min="6" max="6" width="20" customWidth="1"/>
    <col min="7" max="7" width="27" customWidth="1"/>
    <col min="8" max="8" width="24" customWidth="1"/>
    <col min="9" max="9" width="12" customWidth="1"/>
    <col min="10" max="10" width="16" customWidth="1"/>
    <col min="11" max="11" width="17" customWidth="1"/>
    <col min="12" max="12" width="12" customWidth="1"/>
  </cols>
  <sheetData>
    <row r="1" spans="1:12" ht="33.75" customHeight="1" x14ac:dyDescent="0.25">
      <c r="A1" s="4" t="s">
        <v>12</v>
      </c>
      <c r="B1" s="4" t="s">
        <v>90</v>
      </c>
      <c r="C1" s="4" t="s">
        <v>139</v>
      </c>
      <c r="D1" s="4" t="s">
        <v>284</v>
      </c>
      <c r="E1" s="4" t="s">
        <v>285</v>
      </c>
      <c r="F1" s="4" t="s">
        <v>286</v>
      </c>
      <c r="G1" s="4" t="s">
        <v>287</v>
      </c>
      <c r="H1" s="4" t="s">
        <v>288</v>
      </c>
      <c r="I1" s="4" t="s">
        <v>23</v>
      </c>
      <c r="J1" s="4" t="s">
        <v>27</v>
      </c>
      <c r="K1" s="4" t="s">
        <v>149</v>
      </c>
      <c r="L1" s="4" t="s">
        <v>55</v>
      </c>
    </row>
    <row r="2" spans="1:12" ht="76.5" x14ac:dyDescent="0.25">
      <c r="A2" s="5" t="s">
        <v>131</v>
      </c>
      <c r="B2" s="5" t="s">
        <v>107</v>
      </c>
      <c r="C2" s="5" t="s">
        <v>164</v>
      </c>
      <c r="D2" s="7">
        <v>0.71</v>
      </c>
      <c r="E2" s="7">
        <v>0.98</v>
      </c>
      <c r="F2" s="5">
        <v>6.81</v>
      </c>
      <c r="G2" s="7">
        <v>0.85099999999999998</v>
      </c>
      <c r="H2" s="7">
        <v>0.34</v>
      </c>
      <c r="I2" s="5">
        <v>88.5</v>
      </c>
      <c r="J2" s="5">
        <v>72</v>
      </c>
      <c r="K2" s="5">
        <v>34.6</v>
      </c>
      <c r="L2" s="5" t="s">
        <v>289</v>
      </c>
    </row>
    <row r="3" spans="1:1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</sheetData>
  <autoFilter ref="A1:L1" xr:uid="{00000000-0009-0000-0000-000016000000}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28" customWidth="1"/>
    <col min="4" max="4" width="25" customWidth="1"/>
    <col min="5" max="5" width="16" customWidth="1"/>
    <col min="6" max="6" width="13" customWidth="1"/>
    <col min="7" max="7" width="16" customWidth="1"/>
    <col min="8" max="9" width="20" customWidth="1"/>
    <col min="10" max="10" width="18" customWidth="1"/>
    <col min="11" max="11" width="14" customWidth="1"/>
    <col min="12" max="12" width="15" customWidth="1"/>
    <col min="13" max="13" width="12" customWidth="1"/>
  </cols>
  <sheetData>
    <row r="1" spans="1:13" ht="33.75" customHeight="1" x14ac:dyDescent="0.25">
      <c r="A1" s="4" t="s">
        <v>12</v>
      </c>
      <c r="B1" s="4" t="s">
        <v>90</v>
      </c>
      <c r="C1" s="4" t="s">
        <v>290</v>
      </c>
      <c r="D1" s="4" t="s">
        <v>291</v>
      </c>
      <c r="E1" s="4" t="s">
        <v>292</v>
      </c>
      <c r="F1" s="4" t="s">
        <v>146</v>
      </c>
      <c r="G1" s="4" t="s">
        <v>293</v>
      </c>
      <c r="H1" s="4" t="s">
        <v>294</v>
      </c>
      <c r="I1" s="4" t="s">
        <v>295</v>
      </c>
      <c r="J1" s="4" t="s">
        <v>296</v>
      </c>
      <c r="K1" s="4" t="s">
        <v>297</v>
      </c>
      <c r="L1" s="4" t="s">
        <v>298</v>
      </c>
      <c r="M1" s="4" t="s">
        <v>55</v>
      </c>
    </row>
    <row r="2" spans="1:13" ht="38.25" x14ac:dyDescent="0.25">
      <c r="A2" s="5" t="s">
        <v>131</v>
      </c>
      <c r="B2" s="5" t="s">
        <v>107</v>
      </c>
      <c r="C2" s="7">
        <v>0.18</v>
      </c>
      <c r="D2" s="7">
        <v>0.64</v>
      </c>
      <c r="E2" s="5">
        <v>2.8</v>
      </c>
      <c r="F2" s="5">
        <v>3.1</v>
      </c>
      <c r="G2" s="7">
        <f>IFERROR(F2/32,"")</f>
        <v>9.6875000000000003E-2</v>
      </c>
      <c r="H2" s="5">
        <v>68</v>
      </c>
      <c r="I2" s="5">
        <v>72</v>
      </c>
      <c r="J2" s="5" t="s">
        <v>299</v>
      </c>
      <c r="K2" s="5">
        <v>5.74</v>
      </c>
      <c r="L2" s="5">
        <v>0</v>
      </c>
      <c r="M2" s="5" t="s">
        <v>300</v>
      </c>
    </row>
    <row r="3" spans="1:1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spans="1:13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</sheetData>
  <autoFilter ref="A1:M1" xr:uid="{00000000-0009-0000-0000-000017000000}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5" customWidth="1"/>
    <col min="5" max="5" width="18" customWidth="1"/>
    <col min="6" max="6" width="15" customWidth="1"/>
    <col min="7" max="8" width="14" customWidth="1"/>
    <col min="9" max="9" width="17" customWidth="1"/>
    <col min="10" max="10" width="12" customWidth="1"/>
    <col min="11" max="11" width="21" customWidth="1"/>
    <col min="12" max="12" width="12" customWidth="1"/>
  </cols>
  <sheetData>
    <row r="1" spans="1:12" ht="33.75" customHeight="1" x14ac:dyDescent="0.25">
      <c r="A1" s="4" t="s">
        <v>12</v>
      </c>
      <c r="B1" s="4" t="s">
        <v>90</v>
      </c>
      <c r="C1" s="4" t="s">
        <v>139</v>
      </c>
      <c r="D1" s="4" t="s">
        <v>301</v>
      </c>
      <c r="E1" s="4" t="s">
        <v>302</v>
      </c>
      <c r="F1" s="4" t="s">
        <v>303</v>
      </c>
      <c r="G1" s="4" t="s">
        <v>304</v>
      </c>
      <c r="H1" s="4" t="s">
        <v>305</v>
      </c>
      <c r="I1" s="4" t="s">
        <v>306</v>
      </c>
      <c r="J1" s="4" t="s">
        <v>128</v>
      </c>
      <c r="K1" s="4" t="s">
        <v>307</v>
      </c>
      <c r="L1" s="4" t="s">
        <v>55</v>
      </c>
    </row>
    <row r="2" spans="1:12" ht="38.25" x14ac:dyDescent="0.25">
      <c r="A2" s="5" t="s">
        <v>131</v>
      </c>
      <c r="B2" s="5" t="s">
        <v>107</v>
      </c>
      <c r="C2" s="5" t="s">
        <v>164</v>
      </c>
      <c r="D2" s="5">
        <v>14.2</v>
      </c>
      <c r="E2" s="5">
        <v>102.4</v>
      </c>
      <c r="F2" s="5">
        <v>128.9</v>
      </c>
      <c r="G2" s="5">
        <v>88.5</v>
      </c>
      <c r="H2" s="5">
        <v>13.9</v>
      </c>
      <c r="I2" s="5">
        <f>IFERROR(E2*J2/3600,"")</f>
        <v>0.22499555555555556</v>
      </c>
      <c r="J2" s="5">
        <v>7.91</v>
      </c>
      <c r="K2" s="5">
        <f>I2</f>
        <v>0.22499555555555556</v>
      </c>
      <c r="L2" s="5" t="s">
        <v>308</v>
      </c>
    </row>
    <row r="3" spans="1:1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</sheetData>
  <autoFilter ref="A1:L1" xr:uid="{00000000-0009-0000-0000-000018000000}"/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8" customWidth="1"/>
    <col min="5" max="5" width="17" customWidth="1"/>
    <col min="6" max="6" width="21" customWidth="1"/>
    <col min="7" max="7" width="18" customWidth="1"/>
    <col min="8" max="8" width="17" customWidth="1"/>
    <col min="9" max="9" width="22" customWidth="1"/>
    <col min="10" max="10" width="26" customWidth="1"/>
    <col min="11" max="11" width="18" customWidth="1"/>
  </cols>
  <sheetData>
    <row r="1" spans="1:11" ht="33.75" customHeight="1" x14ac:dyDescent="0.25">
      <c r="A1" s="4" t="s">
        <v>12</v>
      </c>
      <c r="B1" s="4" t="s">
        <v>90</v>
      </c>
      <c r="C1" s="4" t="s">
        <v>139</v>
      </c>
      <c r="D1" s="4" t="s">
        <v>142</v>
      </c>
      <c r="E1" s="4" t="s">
        <v>306</v>
      </c>
      <c r="F1" s="4" t="s">
        <v>309</v>
      </c>
      <c r="G1" s="4" t="s">
        <v>302</v>
      </c>
      <c r="H1" s="4" t="s">
        <v>149</v>
      </c>
      <c r="I1" s="4" t="s">
        <v>310</v>
      </c>
      <c r="J1" s="4" t="s">
        <v>311</v>
      </c>
      <c r="K1" s="4" t="s">
        <v>312</v>
      </c>
    </row>
    <row r="2" spans="1:11" x14ac:dyDescent="0.25">
      <c r="A2" s="5" t="s">
        <v>131</v>
      </c>
      <c r="B2" s="5" t="s">
        <v>107</v>
      </c>
      <c r="C2" s="5" t="s">
        <v>164</v>
      </c>
      <c r="D2" s="5">
        <v>256</v>
      </c>
      <c r="E2" s="5">
        <v>0.22500000000000001</v>
      </c>
      <c r="F2" s="5">
        <f>IFERROR(E2/D2,"")</f>
        <v>8.7890625000000002E-4</v>
      </c>
      <c r="G2" s="5">
        <v>102.4</v>
      </c>
      <c r="H2" s="5">
        <v>34.6</v>
      </c>
      <c r="I2" s="5">
        <f>IFERROR(D2/E2,"")</f>
        <v>1137.7777777777778</v>
      </c>
      <c r="J2" s="5">
        <v>1.42E-3</v>
      </c>
      <c r="K2" s="7">
        <f>IFERROR((J2-F2)/J2,"")</f>
        <v>0.38105193661971831</v>
      </c>
    </row>
    <row r="3" spans="1:1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</sheetData>
  <autoFilter ref="A1:K1" xr:uid="{00000000-0009-0000-0000-000019000000}"/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8" customWidth="1"/>
    <col min="5" max="6" width="21" customWidth="1"/>
    <col min="7" max="7" width="18" customWidth="1"/>
    <col min="8" max="9" width="21" customWidth="1"/>
    <col min="10" max="10" width="18" customWidth="1"/>
    <col min="11" max="11" width="23" customWidth="1"/>
    <col min="12" max="12" width="18" customWidth="1"/>
    <col min="13" max="13" width="16" customWidth="1"/>
    <col min="14" max="14" width="23" customWidth="1"/>
  </cols>
  <sheetData>
    <row r="1" spans="1:14" ht="33.75" customHeight="1" x14ac:dyDescent="0.25">
      <c r="A1" s="4" t="s">
        <v>12</v>
      </c>
      <c r="B1" s="4" t="s">
        <v>90</v>
      </c>
      <c r="C1" s="4" t="s">
        <v>139</v>
      </c>
      <c r="D1" s="4" t="s">
        <v>313</v>
      </c>
      <c r="E1" s="4" t="s">
        <v>314</v>
      </c>
      <c r="F1" s="4" t="s">
        <v>315</v>
      </c>
      <c r="G1" s="4" t="s">
        <v>316</v>
      </c>
      <c r="H1" s="4" t="s">
        <v>317</v>
      </c>
      <c r="I1" s="4" t="s">
        <v>318</v>
      </c>
      <c r="J1" s="4" t="s">
        <v>319</v>
      </c>
      <c r="K1" s="4" t="s">
        <v>320</v>
      </c>
      <c r="L1" s="4" t="s">
        <v>321</v>
      </c>
      <c r="M1" s="4" t="s">
        <v>322</v>
      </c>
      <c r="N1" s="4" t="s">
        <v>323</v>
      </c>
    </row>
    <row r="2" spans="1:14" x14ac:dyDescent="0.25">
      <c r="A2" s="5" t="s">
        <v>131</v>
      </c>
      <c r="B2" s="5" t="s">
        <v>107</v>
      </c>
      <c r="C2" s="5" t="s">
        <v>164</v>
      </c>
      <c r="D2" s="5">
        <v>600</v>
      </c>
      <c r="E2" s="5">
        <v>44</v>
      </c>
      <c r="F2" s="5">
        <v>70</v>
      </c>
      <c r="G2" s="5">
        <v>79</v>
      </c>
      <c r="H2" s="5">
        <v>41</v>
      </c>
      <c r="I2" s="5">
        <v>66</v>
      </c>
      <c r="J2" s="5">
        <v>74</v>
      </c>
      <c r="K2" s="5" t="s">
        <v>111</v>
      </c>
      <c r="L2" s="5">
        <v>34.6</v>
      </c>
      <c r="M2" s="5">
        <v>32.9</v>
      </c>
      <c r="N2" s="7">
        <f>IFERROR((L2-M2)/L2,"")</f>
        <v>4.9132947976878692E-2</v>
      </c>
    </row>
    <row r="3" spans="1:1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</sheetData>
  <autoFilter ref="A1:N1" xr:uid="{00000000-0009-0000-0000-00001A000000}"/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3" customWidth="1"/>
    <col min="5" max="5" width="18" customWidth="1"/>
    <col min="6" max="6" width="14" customWidth="1"/>
    <col min="7" max="7" width="23" customWidth="1"/>
    <col min="8" max="8" width="15" customWidth="1"/>
    <col min="9" max="9" width="22" customWidth="1"/>
    <col min="10" max="10" width="28" customWidth="1"/>
  </cols>
  <sheetData>
    <row r="1" spans="1:10" ht="33.75" customHeight="1" x14ac:dyDescent="0.25">
      <c r="A1" s="4" t="s">
        <v>12</v>
      </c>
      <c r="B1" s="4" t="s">
        <v>90</v>
      </c>
      <c r="C1" s="4" t="s">
        <v>139</v>
      </c>
      <c r="D1" s="4" t="s">
        <v>206</v>
      </c>
      <c r="E1" s="4" t="s">
        <v>208</v>
      </c>
      <c r="F1" s="4" t="s">
        <v>145</v>
      </c>
      <c r="G1" s="4" t="s">
        <v>172</v>
      </c>
      <c r="H1" s="4" t="s">
        <v>144</v>
      </c>
      <c r="I1" s="4" t="s">
        <v>260</v>
      </c>
      <c r="J1" s="4" t="s">
        <v>324</v>
      </c>
    </row>
    <row r="2" spans="1:10" x14ac:dyDescent="0.25">
      <c r="A2" s="5" t="s">
        <v>131</v>
      </c>
      <c r="B2" s="5" t="s">
        <v>107</v>
      </c>
      <c r="C2" s="5" t="s">
        <v>164</v>
      </c>
      <c r="D2" s="7">
        <v>0.66800000000000004</v>
      </c>
      <c r="E2" s="5">
        <v>1.4E-2</v>
      </c>
      <c r="F2" s="5">
        <v>6.81</v>
      </c>
      <c r="G2" s="7">
        <v>0.60860000000000003</v>
      </c>
      <c r="H2" s="5">
        <v>5.74</v>
      </c>
      <c r="I2" s="7">
        <v>0.97950000000000004</v>
      </c>
      <c r="J2" s="5">
        <f>IFERROR(I2/F2,"")</f>
        <v>0.14383259911894275</v>
      </c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</sheetData>
  <autoFilter ref="A1:J1" xr:uid="{00000000-0009-0000-0000-00001B000000}"/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3" customWidth="1"/>
    <col min="5" max="5" width="18" customWidth="1"/>
    <col min="6" max="6" width="12" customWidth="1"/>
    <col min="7" max="7" width="17" customWidth="1"/>
    <col min="8" max="8" width="18" customWidth="1"/>
    <col min="9" max="9" width="22" customWidth="1"/>
    <col min="10" max="10" width="26" customWidth="1"/>
  </cols>
  <sheetData>
    <row r="1" spans="1:10" ht="33.75" customHeight="1" x14ac:dyDescent="0.25">
      <c r="A1" s="4" t="s">
        <v>12</v>
      </c>
      <c r="B1" s="4" t="s">
        <v>90</v>
      </c>
      <c r="C1" s="4" t="s">
        <v>139</v>
      </c>
      <c r="D1" s="4" t="s">
        <v>206</v>
      </c>
      <c r="E1" s="4" t="s">
        <v>208</v>
      </c>
      <c r="F1" s="4" t="s">
        <v>147</v>
      </c>
      <c r="G1" s="4" t="s">
        <v>149</v>
      </c>
      <c r="H1" s="4" t="s">
        <v>150</v>
      </c>
      <c r="I1" s="4" t="s">
        <v>260</v>
      </c>
      <c r="J1" s="4" t="s">
        <v>185</v>
      </c>
    </row>
    <row r="2" spans="1:10" x14ac:dyDescent="0.25">
      <c r="A2" s="5" t="s">
        <v>131</v>
      </c>
      <c r="B2" s="5" t="s">
        <v>107</v>
      </c>
      <c r="C2" s="5" t="s">
        <v>164</v>
      </c>
      <c r="D2" s="7">
        <v>0.66800000000000004</v>
      </c>
      <c r="E2" s="5">
        <v>1.4E-2</v>
      </c>
      <c r="F2" s="5">
        <v>0.51</v>
      </c>
      <c r="G2" s="5">
        <v>34.6</v>
      </c>
      <c r="H2" s="5">
        <v>7.91</v>
      </c>
      <c r="I2" s="7">
        <v>0.97950000000000004</v>
      </c>
      <c r="J2" s="7">
        <v>0.32100000000000001</v>
      </c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</sheetData>
  <autoFilter ref="A1:J1" xr:uid="{00000000-0009-0000-0000-00001C000000}"/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8" customWidth="1"/>
    <col min="5" max="5" width="22" customWidth="1"/>
    <col min="6" max="6" width="21" customWidth="1"/>
    <col min="7" max="7" width="22" customWidth="1"/>
    <col min="8" max="9" width="21" customWidth="1"/>
    <col min="10" max="10" width="12" customWidth="1"/>
  </cols>
  <sheetData>
    <row r="1" spans="1:10" ht="33.75" customHeight="1" x14ac:dyDescent="0.25">
      <c r="A1" s="4" t="s">
        <v>12</v>
      </c>
      <c r="B1" s="4" t="s">
        <v>90</v>
      </c>
      <c r="C1" s="4" t="s">
        <v>139</v>
      </c>
      <c r="D1" s="4" t="s">
        <v>325</v>
      </c>
      <c r="E1" s="4" t="s">
        <v>260</v>
      </c>
      <c r="F1" s="4" t="s">
        <v>326</v>
      </c>
      <c r="G1" s="4" t="s">
        <v>327</v>
      </c>
      <c r="H1" s="4" t="s">
        <v>328</v>
      </c>
      <c r="I1" s="4" t="s">
        <v>329</v>
      </c>
      <c r="J1" s="4" t="s">
        <v>330</v>
      </c>
    </row>
    <row r="2" spans="1:10" x14ac:dyDescent="0.25">
      <c r="A2" s="5" t="s">
        <v>131</v>
      </c>
      <c r="B2" s="5" t="s">
        <v>107</v>
      </c>
      <c r="C2" s="5" t="s">
        <v>164</v>
      </c>
      <c r="D2" s="5">
        <v>0.66800000000000004</v>
      </c>
      <c r="E2" s="7">
        <v>0.97950000000000004</v>
      </c>
      <c r="F2" s="7">
        <v>0.60860000000000003</v>
      </c>
      <c r="G2" s="7">
        <v>0.51749999999999996</v>
      </c>
      <c r="H2" s="7">
        <v>0.38040000000000002</v>
      </c>
      <c r="I2" s="5">
        <f>IFERROR(E2*(1+F2+G2+H2)/3,"")</f>
        <v>0.81837225000000002</v>
      </c>
      <c r="J2" s="5">
        <v>1</v>
      </c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</sheetData>
  <autoFilter ref="A1:J1" xr:uid="{00000000-0009-0000-0000-00001D000000}"/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8" width="12" customWidth="1"/>
    <col min="9" max="9" width="15" customWidth="1"/>
    <col min="10" max="10" width="20" customWidth="1"/>
    <col min="11" max="11" width="16" customWidth="1"/>
    <col min="12" max="12" width="12" customWidth="1"/>
  </cols>
  <sheetData>
    <row r="1" spans="1:12" ht="33.75" customHeight="1" x14ac:dyDescent="0.25">
      <c r="A1" s="4" t="s">
        <v>12</v>
      </c>
      <c r="B1" s="4" t="s">
        <v>90</v>
      </c>
      <c r="C1" s="4" t="s">
        <v>139</v>
      </c>
      <c r="D1" s="4" t="s">
        <v>279</v>
      </c>
      <c r="E1" s="4" t="s">
        <v>331</v>
      </c>
      <c r="F1" s="4" t="s">
        <v>332</v>
      </c>
      <c r="G1" s="4" t="s">
        <v>25</v>
      </c>
      <c r="H1" s="4" t="s">
        <v>333</v>
      </c>
      <c r="I1" s="4" t="s">
        <v>334</v>
      </c>
      <c r="J1" s="4" t="s">
        <v>335</v>
      </c>
      <c r="K1" s="4" t="s">
        <v>336</v>
      </c>
      <c r="L1" s="4" t="s">
        <v>55</v>
      </c>
    </row>
    <row r="2" spans="1:12" ht="63.75" x14ac:dyDescent="0.25">
      <c r="A2" s="5" t="s">
        <v>131</v>
      </c>
      <c r="B2" s="5" t="s">
        <v>107</v>
      </c>
      <c r="C2" s="5" t="s">
        <v>164</v>
      </c>
      <c r="D2" s="5">
        <v>0.66800000000000004</v>
      </c>
      <c r="E2" s="5">
        <v>6.81</v>
      </c>
      <c r="F2" s="5">
        <v>7.91</v>
      </c>
      <c r="G2" s="5">
        <v>0.22500000000000001</v>
      </c>
      <c r="H2" s="5">
        <v>34.6</v>
      </c>
      <c r="I2" s="5" t="s">
        <v>111</v>
      </c>
      <c r="J2" s="5" t="s">
        <v>110</v>
      </c>
      <c r="K2" s="5">
        <v>1</v>
      </c>
      <c r="L2" s="5" t="s">
        <v>337</v>
      </c>
    </row>
    <row r="3" spans="1:1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</sheetData>
  <autoFilter ref="A1:L1" xr:uid="{00000000-0009-0000-0000-00001E000000}"/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3" width="12" customWidth="1"/>
    <col min="4" max="4" width="22" customWidth="1"/>
    <col min="5" max="5" width="15" customWidth="1"/>
    <col min="6" max="7" width="12" customWidth="1"/>
    <col min="8" max="8" width="18" customWidth="1"/>
    <col min="9" max="9" width="12" customWidth="1"/>
    <col min="10" max="10" width="13" customWidth="1"/>
    <col min="11" max="11" width="17" customWidth="1"/>
    <col min="12" max="12" width="12" customWidth="1"/>
    <col min="13" max="13" width="16" customWidth="1"/>
    <col min="14" max="14" width="20" customWidth="1"/>
    <col min="15" max="15" width="18" customWidth="1"/>
    <col min="16" max="16" width="13" customWidth="1"/>
    <col min="17" max="17" width="18" customWidth="1"/>
    <col min="18" max="18" width="16" customWidth="1"/>
    <col min="19" max="19" width="12" customWidth="1"/>
  </cols>
  <sheetData>
    <row r="1" spans="1:19" ht="33.75" customHeight="1" x14ac:dyDescent="0.25">
      <c r="A1" s="4" t="s">
        <v>12</v>
      </c>
      <c r="B1" s="4" t="s">
        <v>129</v>
      </c>
      <c r="C1" s="4" t="s">
        <v>338</v>
      </c>
      <c r="D1" s="4" t="s">
        <v>339</v>
      </c>
      <c r="E1" s="4" t="s">
        <v>340</v>
      </c>
      <c r="F1" s="4" t="s">
        <v>119</v>
      </c>
      <c r="G1" s="4" t="s">
        <v>90</v>
      </c>
      <c r="H1" s="4" t="s">
        <v>341</v>
      </c>
      <c r="I1" s="4" t="s">
        <v>193</v>
      </c>
      <c r="J1" s="4" t="s">
        <v>342</v>
      </c>
      <c r="K1" s="4" t="s">
        <v>343</v>
      </c>
      <c r="L1" s="4" t="s">
        <v>344</v>
      </c>
      <c r="M1" s="4" t="s">
        <v>345</v>
      </c>
      <c r="N1" s="4" t="s">
        <v>346</v>
      </c>
      <c r="O1" s="4" t="s">
        <v>347</v>
      </c>
      <c r="P1" s="4" t="s">
        <v>348</v>
      </c>
      <c r="Q1" s="4" t="s">
        <v>349</v>
      </c>
      <c r="R1" s="4" t="s">
        <v>350</v>
      </c>
      <c r="S1" s="4" t="s">
        <v>351</v>
      </c>
    </row>
    <row r="2" spans="1:19" ht="38.25" x14ac:dyDescent="0.25">
      <c r="A2" s="5" t="s">
        <v>131</v>
      </c>
      <c r="B2" s="5" t="s">
        <v>81</v>
      </c>
      <c r="C2" s="5" t="s">
        <v>352</v>
      </c>
      <c r="D2" s="5" t="s">
        <v>353</v>
      </c>
      <c r="E2" s="5" t="s">
        <v>354</v>
      </c>
      <c r="F2" s="5" t="s">
        <v>56</v>
      </c>
      <c r="G2" s="5" t="s">
        <v>107</v>
      </c>
      <c r="H2" s="5" t="s">
        <v>355</v>
      </c>
      <c r="I2" s="5" t="s">
        <v>356</v>
      </c>
      <c r="J2" s="5" t="s">
        <v>357</v>
      </c>
      <c r="K2" s="5" t="s">
        <v>358</v>
      </c>
      <c r="L2" s="5" t="s">
        <v>359</v>
      </c>
      <c r="M2" s="5" t="s">
        <v>360</v>
      </c>
      <c r="N2" s="5" t="s">
        <v>361</v>
      </c>
      <c r="O2" s="5" t="s">
        <v>362</v>
      </c>
      <c r="P2" s="5" t="s">
        <v>111</v>
      </c>
      <c r="Q2" s="5" t="s">
        <v>177</v>
      </c>
      <c r="R2" s="5" t="s">
        <v>363</v>
      </c>
      <c r="S2" s="5" t="s">
        <v>364</v>
      </c>
    </row>
    <row r="3" spans="1:19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1:19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1:19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1:19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1:19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1:19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1:19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1:19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1:19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1:19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1:19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1:19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1:19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1:19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1:19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1:19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1:19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1:19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1:19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1:19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1:19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1:19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1:19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1:19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1:19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1:19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1:19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1:19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1:19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1:19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1:19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1:19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1:19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</sheetData>
  <autoFilter ref="A1:S1" xr:uid="{00000000-0009-0000-0000-00001F000000}"/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12" customWidth="1"/>
    <col min="3" max="3" width="14" customWidth="1"/>
    <col min="4" max="4" width="15" customWidth="1"/>
    <col min="5" max="7" width="12" customWidth="1"/>
    <col min="8" max="8" width="18" customWidth="1"/>
    <col min="9" max="9" width="17" customWidth="1"/>
    <col min="10" max="10" width="15" customWidth="1"/>
    <col min="11" max="11" width="13" customWidth="1"/>
    <col min="12" max="12" width="17" customWidth="1"/>
    <col min="13" max="13" width="16" customWidth="1"/>
    <col min="14" max="14" width="17" customWidth="1"/>
  </cols>
  <sheetData>
    <row r="1" spans="1:14" ht="33.75" customHeight="1" x14ac:dyDescent="0.25">
      <c r="A1" s="4" t="s">
        <v>12</v>
      </c>
      <c r="B1" s="4" t="s">
        <v>90</v>
      </c>
      <c r="C1" s="4" t="s">
        <v>139</v>
      </c>
      <c r="D1" s="4" t="s">
        <v>144</v>
      </c>
      <c r="E1" s="4" t="s">
        <v>365</v>
      </c>
      <c r="F1" s="4" t="s">
        <v>366</v>
      </c>
      <c r="G1" s="4" t="s">
        <v>147</v>
      </c>
      <c r="H1" s="4" t="s">
        <v>148</v>
      </c>
      <c r="I1" s="4" t="s">
        <v>149</v>
      </c>
      <c r="J1" s="4" t="s">
        <v>151</v>
      </c>
      <c r="K1" s="4" t="s">
        <v>206</v>
      </c>
      <c r="L1" s="4" t="s">
        <v>367</v>
      </c>
      <c r="M1" s="4" t="s">
        <v>27</v>
      </c>
      <c r="N1" s="4" t="s">
        <v>368</v>
      </c>
    </row>
    <row r="2" spans="1:14" x14ac:dyDescent="0.25">
      <c r="A2" s="5" t="s">
        <v>131</v>
      </c>
      <c r="B2" s="5" t="s">
        <v>107</v>
      </c>
      <c r="C2" s="5" t="s">
        <v>164</v>
      </c>
      <c r="D2" s="5">
        <v>5.74</v>
      </c>
      <c r="E2" s="5">
        <v>6.81</v>
      </c>
      <c r="F2" s="5">
        <v>3.1</v>
      </c>
      <c r="G2" s="5">
        <v>0.51</v>
      </c>
      <c r="H2" s="5">
        <v>1004</v>
      </c>
      <c r="I2" s="5">
        <v>34.6</v>
      </c>
      <c r="J2" s="5">
        <v>6.51</v>
      </c>
      <c r="K2" s="7">
        <v>0.66800000000000004</v>
      </c>
      <c r="L2" s="5">
        <v>8.8000000000000003E-4</v>
      </c>
      <c r="M2" s="5">
        <v>72</v>
      </c>
      <c r="N2" s="5">
        <v>1</v>
      </c>
    </row>
    <row r="3" spans="1:1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</sheetData>
  <autoFilter ref="A1:N1" xr:uid="{00000000-0009-0000-0000-000020000000}"/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4" customWidth="1"/>
    <col min="3" max="3" width="15" customWidth="1"/>
    <col min="4" max="5" width="12" customWidth="1"/>
    <col min="6" max="6" width="15" customWidth="1"/>
    <col min="7" max="7" width="13" customWidth="1"/>
    <col min="8" max="8" width="12" customWidth="1"/>
    <col min="9" max="9" width="15" customWidth="1"/>
    <col min="10" max="10" width="16" customWidth="1"/>
  </cols>
  <sheetData>
    <row r="1" spans="1:10" ht="33.75" customHeight="1" x14ac:dyDescent="0.25">
      <c r="A1" s="4" t="s">
        <v>90</v>
      </c>
      <c r="B1" s="4" t="s">
        <v>96</v>
      </c>
      <c r="C1" s="4" t="s">
        <v>144</v>
      </c>
      <c r="D1" s="4" t="s">
        <v>331</v>
      </c>
      <c r="E1" s="4" t="s">
        <v>333</v>
      </c>
      <c r="F1" s="4" t="s">
        <v>151</v>
      </c>
      <c r="G1" s="4" t="s">
        <v>206</v>
      </c>
      <c r="H1" s="4" t="s">
        <v>25</v>
      </c>
      <c r="I1" s="4" t="s">
        <v>369</v>
      </c>
      <c r="J1" s="4" t="s">
        <v>370</v>
      </c>
    </row>
    <row r="2" spans="1:10" ht="51" x14ac:dyDescent="0.25">
      <c r="A2" s="5" t="s">
        <v>107</v>
      </c>
      <c r="B2" s="5">
        <v>4</v>
      </c>
      <c r="C2" s="5">
        <v>5.74</v>
      </c>
      <c r="D2" s="5">
        <v>6.81</v>
      </c>
      <c r="E2" s="5">
        <v>34.6</v>
      </c>
      <c r="F2" s="5">
        <v>6.51</v>
      </c>
      <c r="G2" s="7">
        <v>0.66800000000000004</v>
      </c>
      <c r="H2" s="5">
        <v>8.8000000000000003E-4</v>
      </c>
      <c r="I2" s="5" t="s">
        <v>371</v>
      </c>
      <c r="J2" s="5" t="s">
        <v>372</v>
      </c>
    </row>
    <row r="3" spans="1:10" x14ac:dyDescent="0.2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spans="1:1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</row>
    <row r="113" spans="1:1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spans="1:1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</row>
    <row r="115" spans="1:1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spans="1:1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</row>
    <row r="117" spans="1:1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spans="1:1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</row>
    <row r="123" spans="1:1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</row>
    <row r="127" spans="1:1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spans="1:1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spans="1:1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spans="1:1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</row>
    <row r="143" spans="1:1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spans="1:1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</sheetData>
  <autoFilter ref="A1:J1" xr:uid="{00000000-0009-0000-0000-000021000000}"/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9" customWidth="1"/>
    <col min="2" max="2" width="18" customWidth="1"/>
    <col min="3" max="3" width="16" customWidth="1"/>
    <col min="4" max="4" width="20" customWidth="1"/>
    <col min="5" max="5" width="14" customWidth="1"/>
    <col min="6" max="6" width="19" customWidth="1"/>
    <col min="7" max="7" width="20" customWidth="1"/>
    <col min="8" max="8" width="24" customWidth="1"/>
    <col min="9" max="9" width="13" customWidth="1"/>
    <col min="10" max="10" width="17" customWidth="1"/>
    <col min="11" max="11" width="15" customWidth="1"/>
    <col min="12" max="12" width="18" customWidth="1"/>
    <col min="13" max="13" width="20" customWidth="1"/>
  </cols>
  <sheetData>
    <row r="1" spans="1:13" ht="33.75" customHeight="1" x14ac:dyDescent="0.25">
      <c r="A1" s="4" t="s">
        <v>373</v>
      </c>
      <c r="B1" s="4" t="s">
        <v>12</v>
      </c>
      <c r="C1" s="4" t="s">
        <v>345</v>
      </c>
      <c r="D1" s="4" t="s">
        <v>374</v>
      </c>
      <c r="E1" s="4" t="s">
        <v>375</v>
      </c>
      <c r="F1" s="4" t="s">
        <v>376</v>
      </c>
      <c r="G1" s="4" t="s">
        <v>377</v>
      </c>
      <c r="H1" s="4" t="s">
        <v>378</v>
      </c>
      <c r="I1" s="4" t="s">
        <v>379</v>
      </c>
      <c r="J1" s="4" t="s">
        <v>380</v>
      </c>
      <c r="K1" s="4" t="s">
        <v>381</v>
      </c>
      <c r="L1" s="4" t="s">
        <v>382</v>
      </c>
      <c r="M1" s="4" t="s">
        <v>383</v>
      </c>
    </row>
    <row r="2" spans="1:13" ht="63.75" x14ac:dyDescent="0.25">
      <c r="A2" s="5" t="s">
        <v>384</v>
      </c>
      <c r="B2" s="5" t="s">
        <v>131</v>
      </c>
      <c r="C2" s="5" t="s">
        <v>385</v>
      </c>
      <c r="D2" s="5" t="s">
        <v>151</v>
      </c>
      <c r="E2" s="5" t="s">
        <v>386</v>
      </c>
      <c r="F2" s="5" t="s">
        <v>387</v>
      </c>
      <c r="G2" s="5" t="s">
        <v>388</v>
      </c>
      <c r="H2" s="5" t="s">
        <v>389</v>
      </c>
      <c r="I2" s="5" t="s">
        <v>390</v>
      </c>
      <c r="J2" s="5" t="s">
        <v>391</v>
      </c>
      <c r="K2" s="5" t="s">
        <v>392</v>
      </c>
      <c r="L2" s="5" t="s">
        <v>393</v>
      </c>
      <c r="M2" s="5" t="s">
        <v>394</v>
      </c>
    </row>
    <row r="3" spans="1:1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spans="1:13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spans="1:13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spans="1:13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spans="1:13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spans="1:13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spans="1:13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spans="1:13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spans="1:13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spans="1:13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spans="1:13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spans="1:13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spans="1:13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1:13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spans="1:13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spans="1:13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spans="1:13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spans="1:13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spans="1:13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spans="1:13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spans="1:13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spans="1:13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spans="1:13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spans="1:13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spans="1:13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spans="1:13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spans="1:13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spans="1:13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spans="1:13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spans="1:13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spans="1:13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spans="1:13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spans="1:13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spans="1:13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spans="1:13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spans="1:13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spans="1:13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spans="1:13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spans="1:13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spans="1:13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spans="1:13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spans="1:13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spans="1:13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spans="1:13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spans="1:13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spans="1:13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spans="1:13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spans="1:13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</row>
  </sheetData>
  <autoFilter ref="A1:M1" xr:uid="{00000000-0009-0000-0000-000022000000}"/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1" customWidth="1"/>
    <col min="3" max="4" width="15" customWidth="1"/>
    <col min="5" max="5" width="21" customWidth="1"/>
    <col min="6" max="6" width="20" customWidth="1"/>
    <col min="7" max="7" width="21" customWidth="1"/>
    <col min="8" max="8" width="19" customWidth="1"/>
    <col min="9" max="9" width="24" customWidth="1"/>
    <col min="10" max="10" width="14" customWidth="1"/>
    <col min="11" max="11" width="19" customWidth="1"/>
    <col min="12" max="12" width="12" customWidth="1"/>
  </cols>
  <sheetData>
    <row r="1" spans="1:12" ht="33.75" customHeight="1" x14ac:dyDescent="0.25">
      <c r="A1" s="4" t="s">
        <v>395</v>
      </c>
      <c r="B1" s="4" t="s">
        <v>396</v>
      </c>
      <c r="C1" s="4" t="s">
        <v>340</v>
      </c>
      <c r="D1" s="4" t="s">
        <v>397</v>
      </c>
      <c r="E1" s="4" t="s">
        <v>398</v>
      </c>
      <c r="F1" s="4" t="s">
        <v>399</v>
      </c>
      <c r="G1" s="4" t="s">
        <v>400</v>
      </c>
      <c r="H1" s="4" t="s">
        <v>401</v>
      </c>
      <c r="I1" s="4" t="s">
        <v>402</v>
      </c>
      <c r="J1" s="4" t="s">
        <v>403</v>
      </c>
      <c r="K1" s="4" t="s">
        <v>404</v>
      </c>
      <c r="L1" s="4" t="s">
        <v>351</v>
      </c>
    </row>
    <row r="2" spans="1:12" ht="63.75" x14ac:dyDescent="0.25">
      <c r="A2" s="5" t="s">
        <v>405</v>
      </c>
      <c r="B2" s="5" t="s">
        <v>406</v>
      </c>
      <c r="C2" s="5" t="s">
        <v>407</v>
      </c>
      <c r="D2" s="5" t="s">
        <v>384</v>
      </c>
      <c r="E2" s="5" t="s">
        <v>408</v>
      </c>
      <c r="F2" s="5" t="s">
        <v>409</v>
      </c>
      <c r="G2" s="5" t="s">
        <v>410</v>
      </c>
      <c r="H2" s="5" t="s">
        <v>411</v>
      </c>
      <c r="I2" s="5" t="s">
        <v>412</v>
      </c>
      <c r="J2" s="5" t="s">
        <v>413</v>
      </c>
      <c r="K2" s="5" t="s">
        <v>414</v>
      </c>
      <c r="L2" s="5" t="s">
        <v>415</v>
      </c>
    </row>
    <row r="3" spans="1:1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1:1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1:1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1:1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1:1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1:1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1:1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1:1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1:1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1:1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1:1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1:1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1:1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1:1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1:1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1:1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1:1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1:1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1:1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1:1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1:1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1:1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1:1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1:1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1:1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1:1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1:1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1:1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1:1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1:1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1:1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1:1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1:1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1:1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1:1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1:1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1:1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1:1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1:1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1:1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1:1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1:1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1:1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1:1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1:1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</sheetData>
  <autoFilter ref="A1:L1" xr:uid="{00000000-0009-0000-0000-000023000000}"/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U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4" width="12" customWidth="1"/>
    <col min="5" max="5" width="25" customWidth="1"/>
    <col min="6" max="7" width="12" customWidth="1"/>
    <col min="8" max="8" width="24" customWidth="1"/>
    <col min="9" max="10" width="22" customWidth="1"/>
    <col min="11" max="11" width="16" customWidth="1"/>
    <col min="12" max="12" width="20" customWidth="1"/>
    <col min="13" max="15" width="12" customWidth="1"/>
    <col min="16" max="16" width="13" customWidth="1"/>
    <col min="17" max="17" width="16" customWidth="1"/>
    <col min="18" max="18" width="15" customWidth="1"/>
    <col min="19" max="19" width="17" customWidth="1"/>
    <col min="20" max="20" width="25" customWidth="1"/>
    <col min="21" max="21" width="14" customWidth="1"/>
  </cols>
  <sheetData>
    <row r="1" spans="1:21" ht="33.75" customHeight="1" x14ac:dyDescent="0.25">
      <c r="A1" s="4" t="s">
        <v>416</v>
      </c>
      <c r="B1" s="4" t="s">
        <v>417</v>
      </c>
      <c r="C1" s="4" t="s">
        <v>418</v>
      </c>
      <c r="D1" s="4" t="s">
        <v>105</v>
      </c>
      <c r="E1" s="4" t="s">
        <v>419</v>
      </c>
      <c r="F1" s="4" t="s">
        <v>90</v>
      </c>
      <c r="G1" s="4" t="s">
        <v>420</v>
      </c>
      <c r="H1" s="4" t="s">
        <v>378</v>
      </c>
      <c r="I1" s="4" t="s">
        <v>421</v>
      </c>
      <c r="J1" s="4" t="s">
        <v>422</v>
      </c>
      <c r="K1" s="4" t="s">
        <v>120</v>
      </c>
      <c r="L1" s="4" t="s">
        <v>121</v>
      </c>
      <c r="M1" s="4" t="s">
        <v>122</v>
      </c>
      <c r="N1" s="4" t="s">
        <v>119</v>
      </c>
      <c r="O1" s="4" t="s">
        <v>193</v>
      </c>
      <c r="P1" s="4" t="s">
        <v>342</v>
      </c>
      <c r="Q1" s="4" t="s">
        <v>423</v>
      </c>
      <c r="R1" s="4" t="s">
        <v>424</v>
      </c>
      <c r="S1" s="4" t="s">
        <v>380</v>
      </c>
      <c r="T1" s="4" t="s">
        <v>425</v>
      </c>
      <c r="U1" s="4" t="s">
        <v>426</v>
      </c>
    </row>
    <row r="2" spans="1:21" ht="114.75" x14ac:dyDescent="0.25">
      <c r="A2" s="5" t="s">
        <v>427</v>
      </c>
      <c r="B2" s="5" t="s">
        <v>428</v>
      </c>
      <c r="C2" s="5" t="s">
        <v>429</v>
      </c>
      <c r="D2" s="5">
        <v>2022</v>
      </c>
      <c r="E2" s="5" t="s">
        <v>430</v>
      </c>
      <c r="F2" s="5" t="s">
        <v>107</v>
      </c>
      <c r="G2" s="5" t="s">
        <v>431</v>
      </c>
      <c r="H2" s="5" t="s">
        <v>432</v>
      </c>
      <c r="I2" s="5" t="s">
        <v>433</v>
      </c>
      <c r="J2" s="5" t="s">
        <v>108</v>
      </c>
      <c r="K2" s="5">
        <v>4</v>
      </c>
      <c r="L2" s="5">
        <v>16</v>
      </c>
      <c r="M2" s="5">
        <v>16</v>
      </c>
      <c r="N2" s="5" t="s">
        <v>434</v>
      </c>
      <c r="O2" s="5" t="s">
        <v>435</v>
      </c>
      <c r="P2" s="5" t="s">
        <v>436</v>
      </c>
      <c r="Q2" s="5" t="s">
        <v>437</v>
      </c>
      <c r="R2" s="5" t="s">
        <v>438</v>
      </c>
      <c r="S2" s="5" t="s">
        <v>439</v>
      </c>
      <c r="T2" s="5" t="s">
        <v>440</v>
      </c>
      <c r="U2" s="5" t="s">
        <v>441</v>
      </c>
    </row>
    <row r="3" spans="1:2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</sheetData>
  <autoFilter ref="A1:U1" xr:uid="{00000000-0009-0000-0000-000024000000}"/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U2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2" customWidth="1"/>
    <col min="3" max="3" width="14" customWidth="1"/>
    <col min="4" max="5" width="15" customWidth="1"/>
    <col min="6" max="6" width="22" customWidth="1"/>
    <col min="7" max="7" width="14" customWidth="1"/>
    <col min="8" max="8" width="13" customWidth="1"/>
    <col min="9" max="9" width="12" customWidth="1"/>
    <col min="10" max="10" width="18" customWidth="1"/>
    <col min="11" max="11" width="17" customWidth="1"/>
    <col min="12" max="12" width="15" customWidth="1"/>
    <col min="13" max="13" width="18" customWidth="1"/>
    <col min="14" max="14" width="22" customWidth="1"/>
    <col min="15" max="15" width="17" customWidth="1"/>
    <col min="16" max="17" width="21" customWidth="1"/>
    <col min="18" max="18" width="12" customWidth="1"/>
    <col min="19" max="19" width="18" customWidth="1"/>
    <col min="20" max="20" width="12" customWidth="1"/>
    <col min="21" max="21" width="13" customWidth="1"/>
  </cols>
  <sheetData>
    <row r="1" spans="1:21" ht="33.75" customHeight="1" x14ac:dyDescent="0.25">
      <c r="A1" s="4" t="s">
        <v>119</v>
      </c>
      <c r="B1" s="4" t="s">
        <v>90</v>
      </c>
      <c r="C1" s="4" t="s">
        <v>139</v>
      </c>
      <c r="D1" s="4" t="s">
        <v>99</v>
      </c>
      <c r="E1" s="4" t="s">
        <v>144</v>
      </c>
      <c r="F1" s="4" t="s">
        <v>442</v>
      </c>
      <c r="G1" s="4" t="s">
        <v>145</v>
      </c>
      <c r="H1" s="4" t="s">
        <v>146</v>
      </c>
      <c r="I1" s="4" t="s">
        <v>147</v>
      </c>
      <c r="J1" s="4" t="s">
        <v>148</v>
      </c>
      <c r="K1" s="4" t="s">
        <v>149</v>
      </c>
      <c r="L1" s="4" t="s">
        <v>151</v>
      </c>
      <c r="M1" s="4" t="s">
        <v>443</v>
      </c>
      <c r="N1" s="4" t="s">
        <v>260</v>
      </c>
      <c r="O1" s="4" t="s">
        <v>367</v>
      </c>
      <c r="P1" s="4" t="s">
        <v>444</v>
      </c>
      <c r="Q1" s="4" t="s">
        <v>326</v>
      </c>
      <c r="R1" s="4" t="s">
        <v>445</v>
      </c>
      <c r="S1" s="4" t="s">
        <v>261</v>
      </c>
      <c r="T1" s="4" t="s">
        <v>330</v>
      </c>
      <c r="U1" s="4" t="s">
        <v>446</v>
      </c>
    </row>
    <row r="2" spans="1:21" ht="63.75" x14ac:dyDescent="0.25">
      <c r="A2" s="5" t="s">
        <v>57</v>
      </c>
      <c r="B2" s="5" t="s">
        <v>107</v>
      </c>
      <c r="C2" s="5" t="s">
        <v>164</v>
      </c>
      <c r="D2" s="5">
        <v>128</v>
      </c>
      <c r="E2" s="5">
        <v>5.74</v>
      </c>
      <c r="F2" s="7">
        <f>IFERROR(16.06/E2,"")</f>
        <v>2.7979094076655051</v>
      </c>
      <c r="G2" s="5">
        <v>6.81</v>
      </c>
      <c r="H2" s="5">
        <v>3.1</v>
      </c>
      <c r="I2" s="5">
        <v>0.51</v>
      </c>
      <c r="J2" s="5">
        <v>1004</v>
      </c>
      <c r="K2" s="5">
        <v>34.6</v>
      </c>
      <c r="L2" s="5">
        <v>6.51</v>
      </c>
      <c r="M2" s="7">
        <v>0.66800000000000004</v>
      </c>
      <c r="N2" s="7">
        <v>0.97950000000000004</v>
      </c>
      <c r="O2" s="5">
        <v>8.8000000000000003E-4</v>
      </c>
      <c r="P2" s="5">
        <v>79</v>
      </c>
      <c r="Q2" s="7">
        <v>0.60860000000000003</v>
      </c>
      <c r="R2" s="5">
        <v>1.52</v>
      </c>
      <c r="S2" s="5">
        <v>0.88</v>
      </c>
      <c r="T2" s="5">
        <v>1</v>
      </c>
      <c r="U2" s="5" t="s">
        <v>447</v>
      </c>
    </row>
    <row r="3" spans="1:2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</sheetData>
  <autoFilter ref="A1:U1" xr:uid="{00000000-0009-0000-0000-00002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00_README</vt:lpstr>
      <vt:lpstr>01_Model Information</vt:lpstr>
      <vt:lpstr>02_Hardware Configuration</vt:lpstr>
      <vt:lpstr>03_Quantization Methods</vt:lpstr>
      <vt:lpstr>04_Quantization Config</vt:lpstr>
      <vt:lpstr>05_Baseline Performance</vt:lpstr>
      <vt:lpstr>06_Model Size Comparison</vt:lpstr>
      <vt:lpstr>07_Memory Usage Comparison</vt:lpstr>
      <vt:lpstr>08_Inference Speed</vt:lpstr>
      <vt:lpstr>09_Latency &amp; TTFT</vt:lpstr>
      <vt:lpstr>10_Prefill vs Decode</vt:lpstr>
      <vt:lpstr>11_Perplexity Comparison</vt:lpstr>
      <vt:lpstr>12_Task Accuracy</vt:lpstr>
      <vt:lpstr>13_Quality Retention</vt:lpstr>
      <vt:lpstr>14_Quantization Error</vt:lpstr>
      <vt:lpstr>15_Layer-wise Sensitivity</vt:lpstr>
      <vt:lpstr>16_Activation Analysis</vt:lpstr>
      <vt:lpstr>17_Weight &amp; Outlier Analysis</vt:lpstr>
      <vt:lpstr>18_Group Size Comparison</vt:lpstr>
      <vt:lpstr>19_Calibration Comparison</vt:lpstr>
      <vt:lpstr>20_Context Length Perf</vt:lpstr>
      <vt:lpstr>21_KV Cache Memory</vt:lpstr>
      <vt:lpstr>22_GPU Utilization</vt:lpstr>
      <vt:lpstr>23_CPU &amp; RAM Utilization</vt:lpstr>
      <vt:lpstr>24_Power Consumption</vt:lpstr>
      <vt:lpstr>25_Energy per Token</vt:lpstr>
      <vt:lpstr>26_Thermal Performance</vt:lpstr>
      <vt:lpstr>27_Accuracy-Memory Tradeoff</vt:lpstr>
      <vt:lpstr>28_Accuracy-Latency Tradeoff</vt:lpstr>
      <vt:lpstr>29_Quality-Efficiency</vt:lpstr>
      <vt:lpstr>30_Pareto Analysis</vt:lpstr>
      <vt:lpstr>31_Experiment Log</vt:lpstr>
      <vt:lpstr>32_Benchmark Summary</vt:lpstr>
      <vt:lpstr>33_Method Comparison</vt:lpstr>
      <vt:lpstr>34_Research Gap</vt:lpstr>
      <vt:lpstr>35_Research Ideas</vt:lpstr>
      <vt:lpstr>36_Literature Review</vt:lpstr>
      <vt:lpstr>37_Final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Shylesh S</cp:lastModifiedBy>
  <cp:revision>0</cp:revision>
  <dcterms:created xsi:type="dcterms:W3CDTF">2026-09-15T14:23:18Z</dcterms:created>
  <dcterms:modified xsi:type="dcterms:W3CDTF">2026-09-15T15:39:13Z</dcterms:modified>
  <dc:language>en-US</dc:language>
</cp:coreProperties>
</file>