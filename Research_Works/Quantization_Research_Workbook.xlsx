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4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3.xml.rels" ContentType="application/vnd.openxmlformats-package.relationships+xml"/>
  <Override PartName="/xl/worksheets/_rels/sheet17.xml.rels" ContentType="application/vnd.openxmlformats-package.relationships+xml"/>
  <Override PartName="/xl/worksheets/_rels/sheet2.xml.rels" ContentType="application/vnd.openxmlformats-package.relationships+xml"/>
  <Override PartName="/xl/worksheets/_rels/sheet33.xml.rels" ContentType="application/vnd.openxmlformats-package.relationships+xml"/>
  <Override PartName="/xl/worksheets/_rels/sheet32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38.xml.rels" ContentType="application/vnd.openxmlformats-package.relationships+xml"/>
  <Override PartName="/xl/worksheets/_rels/sheet9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30.xml.rels" ContentType="application/vnd.openxmlformats-package.relationships+xml"/>
  <Override PartName="/xl/worksheets/_rels/sheet10.xml.rels" ContentType="application/vnd.openxmlformats-package.relationships+xml"/>
  <Override PartName="/xl/worksheets/_rels/sheet3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35.xml.rels" ContentType="application/vnd.openxmlformats-package.relationships+xml"/>
  <Override PartName="/xl/worksheets/_rels/sheet6.xml.rels" ContentType="application/vnd.openxmlformats-package.relationships+xml"/>
  <Override PartName="/xl/worksheets/_rels/sheet36.xml.rels" ContentType="application/vnd.openxmlformats-package.relationships+xml"/>
  <Override PartName="/xl/worksheets/_rels/sheet7.xml.rels" ContentType="application/vnd.openxmlformats-package.relationships+xml"/>
  <Override PartName="/xl/worksheets/_rels/sheet37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3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19.xml" ContentType="application/vnd.openxmlformats-officedocument.drawing+xml"/>
  <Override PartName="/xl/drawings/drawing2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Model Information" sheetId="2" state="visible" r:id="rId4"/>
    <sheet name="02_Hardware Configuration" sheetId="3" state="visible" r:id="rId5"/>
    <sheet name="03_Quantization Methods" sheetId="4" state="visible" r:id="rId6"/>
    <sheet name="04_Quantization Config" sheetId="5" state="visible" r:id="rId7"/>
    <sheet name="05_Baseline Performance" sheetId="6" state="visible" r:id="rId8"/>
    <sheet name="06_Model Size Comparison" sheetId="7" state="visible" r:id="rId9"/>
    <sheet name="07_Memory Usage Comparison" sheetId="8" state="visible" r:id="rId10"/>
    <sheet name="08_Inference Speed" sheetId="9" state="visible" r:id="rId11"/>
    <sheet name="09_Latency &amp; TTFT" sheetId="10" state="visible" r:id="rId12"/>
    <sheet name="10_Prefill vs Decode" sheetId="11" state="visible" r:id="rId13"/>
    <sheet name="11_Perplexity Comparison" sheetId="12" state="visible" r:id="rId14"/>
    <sheet name="12_Task Accuracy" sheetId="13" state="visible" r:id="rId15"/>
    <sheet name="13_Quality Retention" sheetId="14" state="visible" r:id="rId16"/>
    <sheet name="14_Quantization Error" sheetId="15" state="visible" r:id="rId17"/>
    <sheet name="15_Layer-wise Sensitivity" sheetId="16" state="visible" r:id="rId18"/>
    <sheet name="16_Activation Analysis" sheetId="17" state="visible" r:id="rId19"/>
    <sheet name="17_Weight &amp; Outlier Analysis" sheetId="18" state="visible" r:id="rId20"/>
    <sheet name="18_Group Size Comparison" sheetId="19" state="visible" r:id="rId21"/>
    <sheet name="19_Calibration Comparison" sheetId="20" state="visible" r:id="rId22"/>
    <sheet name="20_Context Length Perf" sheetId="21" state="visible" r:id="rId23"/>
    <sheet name="21_KV Cache Memory" sheetId="22" state="visible" r:id="rId24"/>
    <sheet name="22_GPU Utilization" sheetId="23" state="visible" r:id="rId25"/>
    <sheet name="23_CPU &amp; RAM Utilization" sheetId="24" state="visible" r:id="rId26"/>
    <sheet name="24_Power Consumption" sheetId="25" state="visible" r:id="rId27"/>
    <sheet name="25_Energy per Token" sheetId="26" state="visible" r:id="rId28"/>
    <sheet name="26_Thermal Performance" sheetId="27" state="visible" r:id="rId29"/>
    <sheet name="27_Accuracy-Memory Tradeoff" sheetId="28" state="visible" r:id="rId30"/>
    <sheet name="28_Accuracy-Latency Tradeoff" sheetId="29" state="visible" r:id="rId31"/>
    <sheet name="29_Quality-Efficiency" sheetId="30" state="visible" r:id="rId32"/>
    <sheet name="30_Pareto Analysis" sheetId="31" state="visible" r:id="rId33"/>
    <sheet name="31_Experiment Log" sheetId="32" state="visible" r:id="rId34"/>
    <sheet name="32_Benchmark Summary" sheetId="33" state="visible" r:id="rId35"/>
    <sheet name="33_Method Comparison" sheetId="34" state="visible" r:id="rId36"/>
    <sheet name="34_Research Gap" sheetId="35" state="visible" r:id="rId37"/>
    <sheet name="35_Research Ideas" sheetId="36" state="visible" r:id="rId38"/>
    <sheet name="36_Literature Review" sheetId="37" state="visible" r:id="rId39"/>
    <sheet name="37_Final Results" sheetId="38" state="visible" r:id="rId40"/>
  </sheets>
  <definedNames>
    <definedName function="false" hidden="true" localSheetId="1" name="_xlnm._FilterDatabase" vbProcedure="false">'01_Model Information'!$A$1:$Q$1</definedName>
    <definedName function="false" hidden="true" localSheetId="2" name="_xlnm._FilterDatabase" vbProcedure="false">'02_Hardware Configuration'!$A$1:$O$1</definedName>
    <definedName function="false" hidden="true" localSheetId="3" name="_xlnm._FilterDatabase" vbProcedure="false">'03_Quantization Methods'!$A$1:$Q$1</definedName>
    <definedName function="false" hidden="true" localSheetId="4" name="_xlnm._FilterDatabase" vbProcedure="false">'04_Quantization Config'!$A$1:$P$1</definedName>
    <definedName function="false" hidden="true" localSheetId="5" name="_xlnm._FilterDatabase" vbProcedure="false">'05_Baseline Performance'!$A$1:$R$1</definedName>
    <definedName function="false" hidden="true" localSheetId="6" name="_xlnm._FilterDatabase" vbProcedure="false">'06_Model Size Comparison'!$A$1:$J$1</definedName>
    <definedName function="false" hidden="true" localSheetId="7" name="_xlnm._FilterDatabase" vbProcedure="false">'07_Memory Usage Comparison'!$A$1:$K$1</definedName>
    <definedName function="false" hidden="true" localSheetId="8" name="_xlnm._FilterDatabase" vbProcedure="false">'08_Inference Speed'!$A$1:$L$1</definedName>
    <definedName function="false" hidden="true" localSheetId="9" name="_xlnm._FilterDatabase" vbProcedure="false">'09_Latency &amp; TTFT'!$A$1:$L$1</definedName>
    <definedName function="false" hidden="true" localSheetId="10" name="_xlnm._FilterDatabase" vbProcedure="false">'10_Prefill vs Decode'!$A$1:$N$1</definedName>
    <definedName function="false" hidden="true" localSheetId="11" name="_xlnm._FilterDatabase" vbProcedure="false">'11_Perplexity Comparison'!$A$1:$L$1</definedName>
    <definedName function="false" hidden="true" localSheetId="12" name="_xlnm._FilterDatabase" vbProcedure="false">'12_Task Accuracy'!$A$1:$L$1</definedName>
    <definedName function="false" hidden="true" localSheetId="13" name="_xlnm._FilterDatabase" vbProcedure="false">'13_Quality Retention'!$A$1:$J$1</definedName>
    <definedName function="false" hidden="true" localSheetId="14" name="_xlnm._FilterDatabase" vbProcedure="false">'14_Quantization Error'!$A$1:$O$1</definedName>
    <definedName function="false" hidden="true" localSheetId="15" name="_xlnm._FilterDatabase" vbProcedure="false">'15_Layer-wise Sensitivity'!$A$1:$M$1</definedName>
    <definedName function="false" hidden="true" localSheetId="16" name="_xlnm._FilterDatabase" vbProcedure="false">'16_Activation Analysis'!$A$1:$O$1</definedName>
    <definedName function="false" hidden="true" localSheetId="17" name="_xlnm._FilterDatabase" vbProcedure="false">'17_Weight &amp; Outlier Analysis'!$A$1:$P$1</definedName>
    <definedName function="false" hidden="true" localSheetId="18" name="_xlnm._FilterDatabase" vbProcedure="false">'18_Group Size Comparison'!$A$1:$N$1</definedName>
    <definedName function="false" hidden="true" localSheetId="19" name="_xlnm._FilterDatabase" vbProcedure="false">'19_Calibration Comparison'!$A$1:$N$1</definedName>
    <definedName function="false" hidden="true" localSheetId="20" name="_xlnm._FilterDatabase" vbProcedure="false">'20_Context Length Perf'!$A$1:$O$1</definedName>
    <definedName function="false" hidden="true" localSheetId="21" name="_xlnm._FilterDatabase" vbProcedure="false">'21_KV Cache Memory'!$A$1:$M$1</definedName>
    <definedName function="false" hidden="true" localSheetId="22" name="_xlnm._FilterDatabase" vbProcedure="false">'22_GPU Utilization'!$A$1:$L$1</definedName>
    <definedName function="false" hidden="true" localSheetId="23" name="_xlnm._FilterDatabase" vbProcedure="false">'23_CPU &amp; RAM Utilization'!$A$1:$M$1</definedName>
    <definedName function="false" hidden="true" localSheetId="24" name="_xlnm._FilterDatabase" vbProcedure="false">'24_Power Consumption'!$A$1:$L$1</definedName>
    <definedName function="false" hidden="true" localSheetId="25" name="_xlnm._FilterDatabase" vbProcedure="false">'25_Energy per Token'!$A$1:$K$1</definedName>
    <definedName function="false" hidden="true" localSheetId="26" name="_xlnm._FilterDatabase" vbProcedure="false">'26_Thermal Performance'!$A$1:$N$1</definedName>
    <definedName function="false" hidden="true" localSheetId="27" name="_xlnm._FilterDatabase" vbProcedure="false">'27_Accuracy-Memory Tradeoff'!$A$1:$J$1</definedName>
    <definedName function="false" hidden="true" localSheetId="28" name="_xlnm._FilterDatabase" vbProcedure="false">'28_Accuracy-Latency Tradeoff'!$A$1:$J$1</definedName>
    <definedName function="false" hidden="true" localSheetId="29" name="_xlnm._FilterDatabase" vbProcedure="false">'29_Quality-Efficiency'!$A$1:$J$1</definedName>
    <definedName function="false" hidden="true" localSheetId="30" name="_xlnm._FilterDatabase" vbProcedure="false">'30_Pareto Analysis'!$A$1:$L$1</definedName>
    <definedName function="false" hidden="true" localSheetId="31" name="_xlnm._FilterDatabase" vbProcedure="false">'31_Experiment Log'!$A$1:$S$1</definedName>
    <definedName function="false" hidden="true" localSheetId="32" name="_xlnm._FilterDatabase" vbProcedure="false">'32_Benchmark Summary'!$A$1:$N$1</definedName>
    <definedName function="false" hidden="true" localSheetId="33" name="_xlnm._FilterDatabase" vbProcedure="false">'33_Method Comparison'!$A$1:$J$1</definedName>
    <definedName function="false" hidden="true" localSheetId="34" name="_xlnm._FilterDatabase" vbProcedure="false">'34_Research Gap'!$A$1:$M$1</definedName>
    <definedName function="false" hidden="true" localSheetId="35" name="_xlnm._FilterDatabase" vbProcedure="false">'35_Research Ideas'!$A$1:$L$1</definedName>
    <definedName function="false" hidden="true" localSheetId="36" name="_xlnm._FilterDatabase" vbProcedure="false">'36_Literature Review'!$A$1:$U$1</definedName>
    <definedName function="false" hidden="true" localSheetId="37" name="_xlnm._FilterDatabase" vbProcedure="false">'37_Final Results'!$A$1:$U$1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<sst xmlns="http://schemas.openxmlformats.org/spreadsheetml/2006/main" count="764" uniqueCount="449">
  <si>
    <t xml:space="preserve">LLM Quantization Research Workbook</t>
  </si>
  <si>
    <t xml:space="preserve">How to use</t>
  </si>
  <si>
    <t xml:space="preserve">Row 1 of every sheet</t>
  </si>
  <si>
    <t xml:space="preserve">Column headers (dark blue). Do not rename - other sheets and your scripts key off them.</t>
  </si>
  <si>
    <t xml:space="preserve">Row 2 of every sheet</t>
  </si>
  <si>
    <t xml:space="preserve">EXAMPLE row, shown in grey italics. Delete it before logging real data, or overwrite it.</t>
  </si>
  <si>
    <t xml:space="preserve">Row 3 onward</t>
  </si>
  <si>
    <t xml:space="preserve">Your data. One row per experiment / layer / tensor / paper, depending on the sheet.</t>
  </si>
  <si>
    <t xml:space="preserve">Grey italic cells</t>
  </si>
  <si>
    <t xml:space="preserve">Example values only - illustrative, not measured.</t>
  </si>
  <si>
    <t xml:space="preserve">Formula cells in row 2</t>
  </si>
  <si>
    <t xml:space="preserve">Derived columns already carry a formula. Copy row 2 down to keep them.</t>
  </si>
  <si>
    <t xml:space="preserve">Experiment ID</t>
  </si>
  <si>
    <t xml:space="preserve">The join key across sheets. Use EXP-001, EXP-002, ... and never reuse one.</t>
  </si>
  <si>
    <t xml:space="preserve">Model ID</t>
  </si>
  <si>
    <t xml:space="preserve">The join key into 01_Model Information. Use M01, M02, ...</t>
  </si>
  <si>
    <t xml:space="preserve">Units (assumed throughout - change them if you prefer, but stay consistent)</t>
  </si>
  <si>
    <t xml:space="preserve">Sizes, memory, VRAM, RAM, KV cache</t>
  </si>
  <si>
    <t xml:space="preserve">GB</t>
  </si>
  <si>
    <t xml:space="preserve">Times: TTFT, latency, load time, prefill/decode time, runtime</t>
  </si>
  <si>
    <t xml:space="preserve">seconds</t>
  </si>
  <si>
    <t xml:space="preserve">Throughput</t>
  </si>
  <si>
    <t xml:space="preserve">tokens per second</t>
  </si>
  <si>
    <t xml:space="preserve">Power</t>
  </si>
  <si>
    <t xml:space="preserve">watts</t>
  </si>
  <si>
    <t xml:space="preserve">Energy</t>
  </si>
  <si>
    <t xml:space="preserve">watt-hours (Wh); energy per token = Wh / token</t>
  </si>
  <si>
    <t xml:space="preserve">Temperature</t>
  </si>
  <si>
    <t xml:space="preserve">degrees Celsius</t>
  </si>
  <si>
    <t xml:space="preserve">Percentages and ratios</t>
  </si>
  <si>
    <t xml:space="preserve">stored as fractions - 0.61 renders as 61.0%</t>
  </si>
  <si>
    <t xml:space="preserve">Suggested build order (from your plan)</t>
  </si>
  <si>
    <t xml:space="preserve">Phase 1 - start here</t>
  </si>
  <si>
    <t xml:space="preserve">Sheets 01-12 plus 31_Experiment Log and 36_Literature Review</t>
  </si>
  <si>
    <t xml:space="preserve">Phase 2 - once results exist</t>
  </si>
  <si>
    <t xml:space="preserve">14, 15, 16, 17, 18, 19, 21, 24, 25, 26, 30, 34, 37</t>
  </si>
  <si>
    <t xml:space="preserve">Most important for finding a new method</t>
  </si>
  <si>
    <t xml:space="preserve">31_Experiment Log, 15_Layer-wise Sensitivity, 14_Quantization Error, 17_Weight &amp; Outlier Analysis, 34_Research Gap, 36_Literature Review</t>
  </si>
  <si>
    <t xml:space="preserve">Note on 33_Method Comparison</t>
  </si>
  <si>
    <t xml:space="preserve">Built one method per row (RTN, GPTQ, AWQ, SmoothQuant, ...), as your plan recommends.</t>
  </si>
  <si>
    <t xml:space="preserve">Model Name</t>
  </si>
  <si>
    <t xml:space="preserve">Model Family</t>
  </si>
  <si>
    <t xml:space="preserve">Version</t>
  </si>
  <si>
    <t xml:space="preserve">Parameters</t>
  </si>
  <si>
    <t xml:space="preserve">Architecture</t>
  </si>
  <si>
    <t xml:space="preserve">Layers</t>
  </si>
  <si>
    <t xml:space="preserve">Hidden Size</t>
  </si>
  <si>
    <t xml:space="preserve">Attention Heads</t>
  </si>
  <si>
    <t xml:space="preserve">KV Heads</t>
  </si>
  <si>
    <t xml:space="preserve">Context Length</t>
  </si>
  <si>
    <t xml:space="preserve">Vocabulary Size</t>
  </si>
  <si>
    <t xml:space="preserve">Base / Instruct</t>
  </si>
  <si>
    <t xml:space="preserve">License</t>
  </si>
  <si>
    <t xml:space="preserve">Source URL</t>
  </si>
  <si>
    <t xml:space="preserve">Local Path</t>
  </si>
  <si>
    <t xml:space="preserve">Notes</t>
  </si>
  <si>
    <t xml:space="preserve">M01</t>
  </si>
  <si>
    <t xml:space="preserve">Llama-3.1-8B-Instruct</t>
  </si>
  <si>
    <t xml:space="preserve">Llama 3.1</t>
  </si>
  <si>
    <t xml:space="preserve">3.1</t>
  </si>
  <si>
    <t xml:space="preserve">Decoder-only Transformer</t>
  </si>
  <si>
    <t xml:space="preserve">Instruct</t>
  </si>
  <si>
    <t xml:space="preserve">Llama 3.1 Community</t>
  </si>
  <si>
    <t xml:space="preserve">https://huggingface.co/meta-llama/Llama-3.1-8B-Instruct</t>
  </si>
  <si>
    <t xml:space="preserve">/models/llama-3.1-8b-instruct</t>
  </si>
  <si>
    <t xml:space="preserve">GQA, 8 KV heads -&gt; small KV cache</t>
  </si>
  <si>
    <t xml:space="preserve">Experiment Date</t>
  </si>
  <si>
    <t xml:space="preserve">CPU</t>
  </si>
  <si>
    <t xml:space="preserve">CPU Cores</t>
  </si>
  <si>
    <t xml:space="preserve">System RAM</t>
  </si>
  <si>
    <t xml:space="preserve">GPU</t>
  </si>
  <si>
    <t xml:space="preserve">GPU VRAM</t>
  </si>
  <si>
    <t xml:space="preserve">GPU TGP</t>
  </si>
  <si>
    <t xml:space="preserve">Driver Version</t>
  </si>
  <si>
    <t xml:space="preserve">CUDA Version</t>
  </si>
  <si>
    <t xml:space="preserve">PyTorch Version</t>
  </si>
  <si>
    <t xml:space="preserve">Transformers Version</t>
  </si>
  <si>
    <t xml:space="preserve">OS</t>
  </si>
  <si>
    <t xml:space="preserve">Storage Type</t>
  </si>
  <si>
    <t xml:space="preserve">Storage Free Space</t>
  </si>
  <si>
    <t xml:space="preserve">Python Version</t>
  </si>
  <si>
    <t xml:space="preserve">2026-09-15</t>
  </si>
  <si>
    <t xml:space="preserve">AMD Ryzen 9 7940HS</t>
  </si>
  <si>
    <t xml:space="preserve">NVIDIA RTX 4060 Laptop</t>
  </si>
  <si>
    <t xml:space="preserve">550.90.07</t>
  </si>
  <si>
    <t xml:space="preserve">12.4</t>
  </si>
  <si>
    <t xml:space="preserve">2.4.1</t>
  </si>
  <si>
    <t xml:space="preserve">4.44.2</t>
  </si>
  <si>
    <t xml:space="preserve">Ubuntu 24.04</t>
  </si>
  <si>
    <t xml:space="preserve">NVMe SSD</t>
  </si>
  <si>
    <t xml:space="preserve">3.11.9</t>
  </si>
  <si>
    <t xml:space="preserve">Method</t>
  </si>
  <si>
    <t xml:space="preserve">Category</t>
  </si>
  <si>
    <t xml:space="preserve">PTQ / QAT</t>
  </si>
  <si>
    <t xml:space="preserve">Weight Quantization</t>
  </si>
  <si>
    <t xml:space="preserve">Activation Quantization</t>
  </si>
  <si>
    <t xml:space="preserve">KV Quantization</t>
  </si>
  <si>
    <t xml:space="preserve">Bit Width</t>
  </si>
  <si>
    <t xml:space="preserve">Symmetric / Asymmetric</t>
  </si>
  <si>
    <t xml:space="preserve">Per Tensor / Channel / Group</t>
  </si>
  <si>
    <t xml:space="preserve">Group Size</t>
  </si>
  <si>
    <t xml:space="preserve">Calibration Required</t>
  </si>
  <si>
    <t xml:space="preserve">Core Principle</t>
  </si>
  <si>
    <t xml:space="preserve">Main Advantage</t>
  </si>
  <si>
    <t xml:space="preserve">Main Limitation</t>
  </si>
  <si>
    <t xml:space="preserve">Original Paper</t>
  </si>
  <si>
    <t xml:space="preserve">Year</t>
  </si>
  <si>
    <t xml:space="preserve">Implementation</t>
  </si>
  <si>
    <t xml:space="preserve">GPTQ</t>
  </si>
  <si>
    <t xml:space="preserve">Weight-only PTQ</t>
  </si>
  <si>
    <t xml:space="preserve">PTQ</t>
  </si>
  <si>
    <t xml:space="preserve">Yes</t>
  </si>
  <si>
    <t xml:space="preserve">No</t>
  </si>
  <si>
    <t xml:space="preserve">Asymmetric</t>
  </si>
  <si>
    <t xml:space="preserve">Per Group</t>
  </si>
  <si>
    <t xml:space="preserve">Layer-wise second-order (Hessian) error compensation</t>
  </si>
  <si>
    <t xml:space="preserve">Strong 4-bit quality at low cost</t>
  </si>
  <si>
    <t xml:space="preserve">Calibration-sensitive; weight-only, no activation speedup</t>
  </si>
  <si>
    <t xml:space="preserve">Frantar et al., GPTQ</t>
  </si>
  <si>
    <t xml:space="preserve">AutoGPTQ / GPTQModel</t>
  </si>
  <si>
    <t xml:space="preserve">Model</t>
  </si>
  <si>
    <t xml:space="preserve">Weight Bits</t>
  </si>
  <si>
    <t xml:space="preserve">Activation Bits</t>
  </si>
  <si>
    <t xml:space="preserve">KV Bits</t>
  </si>
  <si>
    <t xml:space="preserve">Quantization Scheme</t>
  </si>
  <si>
    <t xml:space="preserve">Calibration Dataset</t>
  </si>
  <si>
    <t xml:space="preserve">Calibration Samples</t>
  </si>
  <si>
    <t xml:space="preserve">Excluded Layers</t>
  </si>
  <si>
    <t xml:space="preserve">GPU Backend</t>
  </si>
  <si>
    <t xml:space="preserve">Runtime</t>
  </si>
  <si>
    <t xml:space="preserve">Date</t>
  </si>
  <si>
    <t xml:space="preserve">Configuration File</t>
  </si>
  <si>
    <t xml:space="preserve">EXP-001</t>
  </si>
  <si>
    <t xml:space="preserve">Asymmetric, per-group</t>
  </si>
  <si>
    <t xml:space="preserve">C4 (en)</t>
  </si>
  <si>
    <t xml:space="preserve">lm_head</t>
  </si>
  <si>
    <t xml:space="preserve">CUDA / ExLlamaV2</t>
  </si>
  <si>
    <t xml:space="preserve">transformers</t>
  </si>
  <si>
    <t xml:space="preserve">configs/exp001_gptq_w4g128.yaml</t>
  </si>
  <si>
    <t xml:space="preserve">seqlen 2048 for calibration</t>
  </si>
  <si>
    <t xml:space="preserve">Precision</t>
  </si>
  <si>
    <t xml:space="preserve">Prompt ID</t>
  </si>
  <si>
    <t xml:space="preserve">Input Tokens</t>
  </si>
  <si>
    <t xml:space="preserve">Output Tokens</t>
  </si>
  <si>
    <t xml:space="preserve">Load Time</t>
  </si>
  <si>
    <t xml:space="preserve">Model Size</t>
  </si>
  <si>
    <t xml:space="preserve">Peak VRAM</t>
  </si>
  <si>
    <t xml:space="preserve">Peak RAM</t>
  </si>
  <si>
    <t xml:space="preserve">TTFT</t>
  </si>
  <si>
    <t xml:space="preserve">Prefill tok/s</t>
  </si>
  <si>
    <t xml:space="preserve">Decode tok/s</t>
  </si>
  <si>
    <t xml:space="preserve">Total Latency</t>
  </si>
  <si>
    <t xml:space="preserve">Perplexity</t>
  </si>
  <si>
    <t xml:space="preserve">Task Score</t>
  </si>
  <si>
    <t xml:space="preserve">EXP-000</t>
  </si>
  <si>
    <t xml:space="preserve">FP16</t>
  </si>
  <si>
    <t xml:space="preserve">P-01</t>
  </si>
  <si>
    <t xml:space="preserve">Reference run, offloaded</t>
  </si>
  <si>
    <t xml:space="preserve">Original Model Size</t>
  </si>
  <si>
    <t xml:space="preserve">Quantized Model Size</t>
  </si>
  <si>
    <t xml:space="preserve">Size Reduction GB</t>
  </si>
  <si>
    <t xml:space="preserve">Size Reduction %</t>
  </si>
  <si>
    <t xml:space="preserve">Weight Size</t>
  </si>
  <si>
    <t xml:space="preserve">Metadata Size</t>
  </si>
  <si>
    <t xml:space="preserve">Total Disk Size</t>
  </si>
  <si>
    <t xml:space="preserve">W4A16</t>
  </si>
  <si>
    <t xml:space="preserve">Model Weight Memory</t>
  </si>
  <si>
    <t xml:space="preserve">Peak GPU VRAM</t>
  </si>
  <si>
    <t xml:space="preserve">Peak CPU RAM</t>
  </si>
  <si>
    <t xml:space="preserve">KV Cache Memory</t>
  </si>
  <si>
    <t xml:space="preserve">Runtime Memory</t>
  </si>
  <si>
    <t xml:space="preserve">Peak Total Memory</t>
  </si>
  <si>
    <t xml:space="preserve">Memory Reduction GB</t>
  </si>
  <si>
    <t xml:space="preserve">Memory Reduction %</t>
  </si>
  <si>
    <t xml:space="preserve">Total Generation Time</t>
  </si>
  <si>
    <t xml:space="preserve">End-to-End tok/s</t>
  </si>
  <si>
    <t xml:space="preserve">Speedup vs Baseline</t>
  </si>
  <si>
    <t xml:space="preserve">Slowdown vs Baseline</t>
  </si>
  <si>
    <t xml:space="preserve">-</t>
  </si>
  <si>
    <t xml:space="preserve">Input Length</t>
  </si>
  <si>
    <t xml:space="preserve">Output Length</t>
  </si>
  <si>
    <t xml:space="preserve">Time per Token</t>
  </si>
  <si>
    <t xml:space="preserve">P50 Latency</t>
  </si>
  <si>
    <t xml:space="preserve">P95 Latency</t>
  </si>
  <si>
    <t xml:space="preserve">P99 Latency</t>
  </si>
  <si>
    <t xml:space="preserve">Baseline Latency</t>
  </si>
  <si>
    <t xml:space="preserve">Latency Improvement %</t>
  </si>
  <si>
    <t xml:space="preserve">Prefill Time</t>
  </si>
  <si>
    <t xml:space="preserve">Decode Time</t>
  </si>
  <si>
    <t xml:space="preserve">Memory During Prefill</t>
  </si>
  <si>
    <t xml:space="preserve">Memory During Decode</t>
  </si>
  <si>
    <t xml:space="preserve">Bottleneck</t>
  </si>
  <si>
    <t xml:space="preserve">Memory bandwidth (decode)</t>
  </si>
  <si>
    <t xml:space="preserve">Dequant overhead visible in prefill</t>
  </si>
  <si>
    <t xml:space="preserve">Dataset</t>
  </si>
  <si>
    <t xml:space="preserve">Dataset Split</t>
  </si>
  <si>
    <t xml:space="preserve">Number of Tokens</t>
  </si>
  <si>
    <t xml:space="preserve">Baseline Perplexity</t>
  </si>
  <si>
    <t xml:space="preserve">PPL Increase</t>
  </si>
  <si>
    <t xml:space="preserve">PPL Change %</t>
  </si>
  <si>
    <t xml:space="preserve">WikiText-2</t>
  </si>
  <si>
    <t xml:space="preserve">test</t>
  </si>
  <si>
    <t xml:space="preserve">seqlen 2048, stride 2048</t>
  </si>
  <si>
    <t xml:space="preserve">Benchmark</t>
  </si>
  <si>
    <t xml:space="preserve">Task</t>
  </si>
  <si>
    <t xml:space="preserve">Samples</t>
  </si>
  <si>
    <t xml:space="preserve">Correct</t>
  </si>
  <si>
    <t xml:space="preserve">Accuracy</t>
  </si>
  <si>
    <t xml:space="preserve">Baseline Accuracy</t>
  </si>
  <si>
    <t xml:space="preserve">Accuracy Drop</t>
  </si>
  <si>
    <t xml:space="preserve">Accuracy Retention %</t>
  </si>
  <si>
    <t xml:space="preserve">MMLU</t>
  </si>
  <si>
    <t xml:space="preserve">5-shot, all subjects</t>
  </si>
  <si>
    <t xml:space="preserve">Baseline Quality</t>
  </si>
  <si>
    <t xml:space="preserve">Quantized Quality</t>
  </si>
  <si>
    <t xml:space="preserve">Absolute Quality Drop</t>
  </si>
  <si>
    <t xml:space="preserve">Quality Retention %</t>
  </si>
  <si>
    <t xml:space="preserve">Speed Improvement %</t>
  </si>
  <si>
    <t xml:space="preserve">Overall Efficiency Score</t>
  </si>
  <si>
    <t xml:space="preserve">Layer</t>
  </si>
  <si>
    <t xml:space="preserve">Tensor</t>
  </si>
  <si>
    <t xml:space="preserve">Original Min</t>
  </si>
  <si>
    <t xml:space="preserve">Original Max</t>
  </si>
  <si>
    <t xml:space="preserve">Quantized Min</t>
  </si>
  <si>
    <t xml:space="preserve">Quantized Max</t>
  </si>
  <si>
    <t xml:space="preserve">MAE</t>
  </si>
  <si>
    <t xml:space="preserve">MSE</t>
  </si>
  <si>
    <t xml:space="preserve">RMSE</t>
  </si>
  <si>
    <t xml:space="preserve">Max Absolute Error</t>
  </si>
  <si>
    <t xml:space="preserve">Relative Error</t>
  </si>
  <si>
    <t xml:space="preserve">Quantization Range</t>
  </si>
  <si>
    <t xml:space="preserve">mlp.down_proj.weight</t>
  </si>
  <si>
    <t xml:space="preserve">Error concentrated on outlier channels</t>
  </si>
  <si>
    <t xml:space="preserve">Layer Number</t>
  </si>
  <si>
    <t xml:space="preserve">Layer Type</t>
  </si>
  <si>
    <t xml:space="preserve">Quantized Perplexity</t>
  </si>
  <si>
    <t xml:space="preserve">Weight MAE</t>
  </si>
  <si>
    <t xml:space="preserve">Activation Error</t>
  </si>
  <si>
    <t xml:space="preserve">Sensitivity Score</t>
  </si>
  <si>
    <t xml:space="preserve">Sensitivity Rank</t>
  </si>
  <si>
    <t xml:space="preserve">Recommended Precision</t>
  </si>
  <si>
    <t xml:space="preserve">self_attn.q_proj</t>
  </si>
  <si>
    <t xml:space="preserve">INT4</t>
  </si>
  <si>
    <t xml:space="preserve">INT8 (keep first layers higher precision)</t>
  </si>
  <si>
    <t xml:space="preserve">Min</t>
  </si>
  <si>
    <t xml:space="preserve">Max</t>
  </si>
  <si>
    <t xml:space="preserve">Mean</t>
  </si>
  <si>
    <t xml:space="preserve">Std</t>
  </si>
  <si>
    <t xml:space="preserve">Absolute Max</t>
  </si>
  <si>
    <t xml:space="preserve">Percentile 99</t>
  </si>
  <si>
    <t xml:space="preserve">Percentile 99.9</t>
  </si>
  <si>
    <t xml:space="preserve">Outlier Count</t>
  </si>
  <si>
    <t xml:space="preserve">Outlier %</t>
  </si>
  <si>
    <t xml:space="preserve">Activation Quantization Error</t>
  </si>
  <si>
    <t xml:space="preserve">mlp.down_proj.input</t>
  </si>
  <si>
    <t xml:space="preserve">C4 (128 seqs)</t>
  </si>
  <si>
    <t xml:space="preserve">Massive outlier channels -&gt; motivates SmoothQuant-style migration</t>
  </si>
  <si>
    <t xml:space="preserve">Median</t>
  </si>
  <si>
    <t xml:space="preserve">Outlier Ratio</t>
  </si>
  <si>
    <t xml:space="preserve">Weight MSE</t>
  </si>
  <si>
    <t xml:space="preserve">Outlier = |w| &gt; 4*std</t>
  </si>
  <si>
    <t xml:space="preserve">Quality Retention</t>
  </si>
  <si>
    <t xml:space="preserve">Overall Score</t>
  </si>
  <si>
    <t xml:space="preserve">Domain</t>
  </si>
  <si>
    <t xml:space="preserve">Tokens</t>
  </si>
  <si>
    <t xml:space="preserve">Sequence Length</t>
  </si>
  <si>
    <t xml:space="preserve">Quantization Time</t>
  </si>
  <si>
    <t xml:space="preserve">Quality Drop</t>
  </si>
  <si>
    <t xml:space="preserve">Inference Speed</t>
  </si>
  <si>
    <t xml:space="preserve">Web text</t>
  </si>
  <si>
    <t xml:space="preserve">Compare vs WikiText / domain-matched calib</t>
  </si>
  <si>
    <t xml:space="preserve">KV Cache</t>
  </si>
  <si>
    <t xml:space="preserve">Perplexity / Quality</t>
  </si>
  <si>
    <t xml:space="preserve">Decode degrades as KV cache grows</t>
  </si>
  <si>
    <t xml:space="preserve">Weight Precision</t>
  </si>
  <si>
    <t xml:space="preserve">KV Precision</t>
  </si>
  <si>
    <t xml:space="preserve">Number of KV Heads</t>
  </si>
  <si>
    <t xml:space="preserve">Head Dimension</t>
  </si>
  <si>
    <t xml:space="preserve">KV Cache Size</t>
  </si>
  <si>
    <t xml:space="preserve">Memory Growth</t>
  </si>
  <si>
    <t xml:space="preserve">Quality</t>
  </si>
  <si>
    <t xml:space="preserve">EXP-002</t>
  </si>
  <si>
    <t xml:space="preserve">GPTQ + KV8</t>
  </si>
  <si>
    <t xml:space="preserve">INT8</t>
  </si>
  <si>
    <t xml:space="preserve">KV8 halves cache with negligible PPL change</t>
  </si>
  <si>
    <t xml:space="preserve">Average GPU Utilization</t>
  </si>
  <si>
    <t xml:space="preserve">Peak GPU Utilization</t>
  </si>
  <si>
    <t xml:space="preserve">GPU Memory Used</t>
  </si>
  <si>
    <t xml:space="preserve">GPU Memory Utilization</t>
  </si>
  <si>
    <t xml:space="preserve">Compute Utilization</t>
  </si>
  <si>
    <t xml:space="preserve">Low compute util confirms bandwidth bound decode</t>
  </si>
  <si>
    <t xml:space="preserve">Average CPU Utilization</t>
  </si>
  <si>
    <t xml:space="preserve">Peak CPU Utilization</t>
  </si>
  <si>
    <t xml:space="preserve">Average RAM</t>
  </si>
  <si>
    <t xml:space="preserve">RAM Usage %</t>
  </si>
  <si>
    <t xml:space="preserve">CPU Temperature</t>
  </si>
  <si>
    <t xml:space="preserve">GPU Temperature</t>
  </si>
  <si>
    <t xml:space="preserve">Disk Activity</t>
  </si>
  <si>
    <t xml:space="preserve">Disk Read</t>
  </si>
  <si>
    <t xml:space="preserve">Disk Write</t>
  </si>
  <si>
    <t xml:space="preserve">Load only</t>
  </si>
  <si>
    <t xml:space="preserve">RAM % assumes 32 GB system</t>
  </si>
  <si>
    <t xml:space="preserve">Idle Power</t>
  </si>
  <si>
    <t xml:space="preserve">Average Power</t>
  </si>
  <si>
    <t xml:space="preserve">Peak Power</t>
  </si>
  <si>
    <t xml:space="preserve">GPU Power</t>
  </si>
  <si>
    <t xml:space="preserve">CPU Power</t>
  </si>
  <si>
    <t xml:space="preserve">Total Energy</t>
  </si>
  <si>
    <t xml:space="preserve">Energy per Query</t>
  </si>
  <si>
    <t xml:space="preserve">Total Energy in Wh; Runtime in s</t>
  </si>
  <si>
    <t xml:space="preserve">Energy per Token</t>
  </si>
  <si>
    <t xml:space="preserve">Energy Efficiency</t>
  </si>
  <si>
    <t xml:space="preserve">Baseline Energy/token</t>
  </si>
  <si>
    <t xml:space="preserve">Improvement %</t>
  </si>
  <si>
    <t xml:space="preserve">Test Duration</t>
  </si>
  <si>
    <t xml:space="preserve">Initial GPU Temp</t>
  </si>
  <si>
    <t xml:space="preserve">Average GPU Temp</t>
  </si>
  <si>
    <t xml:space="preserve">Peak GPU Temp</t>
  </si>
  <si>
    <t xml:space="preserve">Initial CPU Temp</t>
  </si>
  <si>
    <t xml:space="preserve">Average CPU Temp</t>
  </si>
  <si>
    <t xml:space="preserve">Peak CPU Temp</t>
  </si>
  <si>
    <t xml:space="preserve">Thermal Throttling</t>
  </si>
  <si>
    <t xml:space="preserve">Initial tok/s</t>
  </si>
  <si>
    <t xml:space="preserve">Final tok/s</t>
  </si>
  <si>
    <t xml:space="preserve">Performance Drop %</t>
  </si>
  <si>
    <t xml:space="preserve">Memory Efficiency Score</t>
  </si>
  <si>
    <t xml:space="preserve">Quality Score</t>
  </si>
  <si>
    <t xml:space="preserve">Memory Reduction</t>
  </si>
  <si>
    <t xml:space="preserve">Speed Improvement</t>
  </si>
  <si>
    <t xml:space="preserve">Energy Reduction</t>
  </si>
  <si>
    <t xml:space="preserve">Efficiency Score</t>
  </si>
  <si>
    <t xml:space="preserve">Rank</t>
  </si>
  <si>
    <t xml:space="preserve">Memory</t>
  </si>
  <si>
    <t xml:space="preserve">Latency</t>
  </si>
  <si>
    <t xml:space="preserve">Speed</t>
  </si>
  <si>
    <t xml:space="preserve">Dominated?</t>
  </si>
  <si>
    <t xml:space="preserve">Pareto Optimal?</t>
  </si>
  <si>
    <t xml:space="preserve">Pareto Rank</t>
  </si>
  <si>
    <t xml:space="preserve">Not dominated on (quality, memory, latency)</t>
  </si>
  <si>
    <t xml:space="preserve">Time</t>
  </si>
  <si>
    <t xml:space="preserve">Research Question</t>
  </si>
  <si>
    <t xml:space="preserve">Hypothesis</t>
  </si>
  <si>
    <t xml:space="preserve">Configuration</t>
  </si>
  <si>
    <t xml:space="preserve">Hardware</t>
  </si>
  <si>
    <t xml:space="preserve">Code Version</t>
  </si>
  <si>
    <t xml:space="preserve">Result</t>
  </si>
  <si>
    <t xml:space="preserve">Observation</t>
  </si>
  <si>
    <t xml:space="preserve">Expected Result</t>
  </si>
  <si>
    <t xml:space="preserve">Actual Result</t>
  </si>
  <si>
    <t xml:space="preserve">Failure?</t>
  </si>
  <si>
    <t xml:space="preserve">Error Message</t>
  </si>
  <si>
    <t xml:space="preserve">Next Action</t>
  </si>
  <si>
    <t xml:space="preserve">Status</t>
  </si>
  <si>
    <t xml:space="preserve">14:20</t>
  </si>
  <si>
    <t xml:space="preserve">How much quality does W4 GPTQ cost on an 8B model?</t>
  </si>
  <si>
    <t xml:space="preserve">PPL increase &lt; 0.5 with g128</t>
  </si>
  <si>
    <t xml:space="preserve">W4A16 g128, C4 128 samples</t>
  </si>
  <si>
    <t xml:space="preserve">WikiText-2 test</t>
  </si>
  <si>
    <t xml:space="preserve">RTX 4060 8GB</t>
  </si>
  <si>
    <t xml:space="preserve">git 9f2a1c4</t>
  </si>
  <si>
    <t xml:space="preserve">PPL 6.51 vs 6.24</t>
  </si>
  <si>
    <t xml:space="preserve">Early layers dominate the degradation</t>
  </si>
  <si>
    <t xml:space="preserve">PPL increase &lt; 0.50</t>
  </si>
  <si>
    <t xml:space="preserve">PPL increase 0.27</t>
  </si>
  <si>
    <t xml:space="preserve">Run per-layer sensitivity sweep (EXP-003)</t>
  </si>
  <si>
    <t xml:space="preserve">Complete</t>
  </si>
  <si>
    <t xml:space="preserve">VRAM</t>
  </si>
  <si>
    <t xml:space="preserve">RAM</t>
  </si>
  <si>
    <t xml:space="preserve">Energy/token</t>
  </si>
  <si>
    <t xml:space="preserve">Overall Rank</t>
  </si>
  <si>
    <t xml:space="preserve">Advantages</t>
  </si>
  <si>
    <t xml:space="preserve">Limitations</t>
  </si>
  <si>
    <t xml:space="preserve">Strong 4-bit quality; mature kernels</t>
  </si>
  <si>
    <t xml:space="preserve">Calibration-sensitive; no activation quantization</t>
  </si>
  <si>
    <t xml:space="preserve">Observation ID</t>
  </si>
  <si>
    <t xml:space="preserve">Metric Affected</t>
  </si>
  <si>
    <t xml:space="preserve">Magnitude</t>
  </si>
  <si>
    <t xml:space="preserve">Possible Cause</t>
  </si>
  <si>
    <t xml:space="preserve">Existing Method</t>
  </si>
  <si>
    <t xml:space="preserve">Existing Limitation</t>
  </si>
  <si>
    <t xml:space="preserve">Evidence</t>
  </si>
  <si>
    <t xml:space="preserve">Research Gap</t>
  </si>
  <si>
    <t xml:space="preserve">Importance</t>
  </si>
  <si>
    <t xml:space="preserve">Reproducible?</t>
  </si>
  <si>
    <t xml:space="preserve">Next Experiment</t>
  </si>
  <si>
    <t xml:space="preserve">OBS-001</t>
  </si>
  <si>
    <t xml:space="preserve">Layers 0-3 contribute ~60% of total PPL increase</t>
  </si>
  <si>
    <t xml:space="preserve">+0.16 of +0.27</t>
  </si>
  <si>
    <t xml:space="preserve">Wide activation range in early attention blocks</t>
  </si>
  <si>
    <t xml:space="preserve">Uniform per-group INT4 across all layers</t>
  </si>
  <si>
    <t xml:space="preserve">Ignores layer-level sensitivity variation</t>
  </si>
  <si>
    <t xml:space="preserve">15_Layer-wise Sensitivity, rows 2-33</t>
  </si>
  <si>
    <t xml:space="preserve">No cheap sensitivity metric to allocate bits per layer without full PPL sweeps</t>
  </si>
  <si>
    <t xml:space="preserve">High</t>
  </si>
  <si>
    <t xml:space="preserve">Yes (3 seeds)</t>
  </si>
  <si>
    <t xml:space="preserve">Mixed-precision: INT8 for layers 0-3, INT4 elsewhere</t>
  </si>
  <si>
    <t xml:space="preserve">Idea ID</t>
  </si>
  <si>
    <t xml:space="preserve">Research Problem</t>
  </si>
  <si>
    <t xml:space="preserve">Motivation</t>
  </si>
  <si>
    <t xml:space="preserve">Target Component</t>
  </si>
  <si>
    <t xml:space="preserve">Proposed Change</t>
  </si>
  <si>
    <t xml:space="preserve">Expected Benefit</t>
  </si>
  <si>
    <t xml:space="preserve">Potential Risk</t>
  </si>
  <si>
    <t xml:space="preserve">Required Experiment</t>
  </si>
  <si>
    <t xml:space="preserve">Baselines</t>
  </si>
  <si>
    <t xml:space="preserve">Success Metric</t>
  </si>
  <si>
    <t xml:space="preserve">IDEA-001</t>
  </si>
  <si>
    <t xml:space="preserve">Uniform bit allocation wastes budget on insensitive layers</t>
  </si>
  <si>
    <t xml:space="preserve">A Hessian-trace proxy predicts layer sensitivity at &lt;1% of sweep cost</t>
  </si>
  <si>
    <t xml:space="preserve">Bit allocation policy</t>
  </si>
  <si>
    <t xml:space="preserve">Rank layers by proxy, assign INT8 to top-k</t>
  </si>
  <si>
    <t xml:space="preserve">PPL increase halved at +4% model size</t>
  </si>
  <si>
    <t xml:space="preserve">Proxy may not transfer across model families</t>
  </si>
  <si>
    <t xml:space="preserve">Proxy vs measured sensitivity correlation on 3 models</t>
  </si>
  <si>
    <t xml:space="preserve">GPTQ W4 g128, AWQ W4 g128</t>
  </si>
  <si>
    <t xml:space="preserve">Spearman rho &gt; 0.8; PPL gap &lt; 0.15</t>
  </si>
  <si>
    <t xml:space="preserve">Proposed</t>
  </si>
  <si>
    <t xml:space="preserve">Paper ID</t>
  </si>
  <si>
    <t xml:space="preserve">Title</t>
  </si>
  <si>
    <t xml:space="preserve">Authors</t>
  </si>
  <si>
    <t xml:space="preserve">Conference / Journal</t>
  </si>
  <si>
    <t xml:space="preserve">Problem</t>
  </si>
  <si>
    <t xml:space="preserve">Proposed Solution</t>
  </si>
  <si>
    <t xml:space="preserve">Quantization Type</t>
  </si>
  <si>
    <t xml:space="preserve">Main Result</t>
  </si>
  <si>
    <t xml:space="preserve">Limitation</t>
  </si>
  <si>
    <t xml:space="preserve">Relevance to My Work</t>
  </si>
  <si>
    <t xml:space="preserve">Paper URL</t>
  </si>
  <si>
    <t xml:space="preserve">P-001</t>
  </si>
  <si>
    <t xml:space="preserve">GPTQ: Accurate Post-Training Quantization for Generative Transformers</t>
  </si>
  <si>
    <t xml:space="preserve">Frantar, Ashkboos, Hoefler, Alistarh</t>
  </si>
  <si>
    <t xml:space="preserve">ICLR 2023</t>
  </si>
  <si>
    <t xml:space="preserve">Accurate 3-4 bit PTQ for very large LLMs</t>
  </si>
  <si>
    <t xml:space="preserve">RTN collapses below 8 bits on large models</t>
  </si>
  <si>
    <t xml:space="preserve">Layer-wise Hessian-based error compensation</t>
  </si>
  <si>
    <t xml:space="preserve">OPT, BLOOM</t>
  </si>
  <si>
    <t xml:space="preserve">C4, WikiText-2</t>
  </si>
  <si>
    <t xml:space="preserve">A100 80GB</t>
  </si>
  <si>
    <t xml:space="preserve">Near-FP16 PPL at 4 bits</t>
  </si>
  <si>
    <t xml:space="preserve">Weight-only; no activation/KV handling</t>
  </si>
  <si>
    <t xml:space="preserve">Uniform bit width across layers</t>
  </si>
  <si>
    <t xml:space="preserve">Primary baseline for all experiments</t>
  </si>
  <si>
    <t xml:space="preserve">https://arxiv.org/abs/2210.17323</t>
  </si>
  <si>
    <t xml:space="preserve">Compression Ratio</t>
  </si>
  <si>
    <t xml:space="preserve">Task Accuracy</t>
  </si>
  <si>
    <t xml:space="preserve">Peak Temperature</t>
  </si>
  <si>
    <t xml:space="preserve">Speedup</t>
  </si>
  <si>
    <t xml:space="preserve">Best For</t>
  </si>
  <si>
    <t xml:space="preserve">8 GB consumer GPUs; quality-sensitive local inference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</si>
</sst>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/>
    </row>
    <row r="4" customFormat="false" ht="15" hidden="false" customHeight="false" outlineLevel="0" collapsed="false">
      <c r="A4" s="2" t="s">
        <v>2</v>
      </c>
      <c r="B4" s="2" t="s">
        <v>3</v>
      </c>
    </row>
    <row r="5" customFormat="false" ht="15" hidden="false" customHeight="false" outlineLevel="0" collapsed="false">
      <c r="A5" s="2" t="s">
        <v>4</v>
      </c>
      <c r="B5" s="2" t="s">
        <v>5</v>
      </c>
    </row>
    <row r="6" customFormat="false" ht="15" hidden="false" customHeight="false" outlineLevel="0" collapsed="false">
      <c r="A6" s="2" t="s">
        <v>6</v>
      </c>
      <c r="B6" s="2" t="s">
        <v>7</v>
      </c>
    </row>
    <row r="7" customFormat="false" ht="15" hidden="false" customHeight="false" outlineLevel="0" collapsed="false">
      <c r="A7" s="2" t="s">
        <v>8</v>
      </c>
      <c r="B7" s="2" t="s">
        <v>9</v>
      </c>
    </row>
    <row r="8" customFormat="false" ht="15" hidden="false" customHeight="false" outlineLevel="0" collapsed="false">
      <c r="A8" s="2" t="s">
        <v>10</v>
      </c>
      <c r="B8" s="2" t="s">
        <v>11</v>
      </c>
    </row>
    <row r="9" customFormat="false" ht="15" hidden="false" customHeight="false" outlineLevel="0" collapsed="false">
      <c r="A9" s="2" t="s">
        <v>12</v>
      </c>
      <c r="B9" s="2" t="s">
        <v>13</v>
      </c>
    </row>
    <row r="10" customFormat="false" ht="15" hidden="false" customHeight="false" outlineLevel="0" collapsed="false">
      <c r="A10" s="2" t="s">
        <v>14</v>
      </c>
      <c r="B10" s="2" t="s">
        <v>15</v>
      </c>
    </row>
    <row r="11" customFormat="false" ht="15" hidden="false" customHeight="false" outlineLevel="0" collapsed="false">
      <c r="A11" s="2"/>
      <c r="B11" s="2"/>
    </row>
    <row r="12" customFormat="false" ht="26.85" hidden="false" customHeight="false" outlineLevel="0" collapsed="false">
      <c r="A12" s="3" t="s">
        <v>16</v>
      </c>
      <c r="B12" s="2"/>
    </row>
    <row r="13" customFormat="false" ht="15" hidden="false" customHeight="false" outlineLevel="0" collapsed="false">
      <c r="A13" s="2" t="s">
        <v>17</v>
      </c>
      <c r="B13" s="2" t="s">
        <v>18</v>
      </c>
    </row>
    <row r="14" customFormat="false" ht="23.85" hidden="false" customHeight="false" outlineLevel="0" collapsed="false">
      <c r="A14" s="2" t="s">
        <v>19</v>
      </c>
      <c r="B14" s="2" t="s">
        <v>20</v>
      </c>
    </row>
    <row r="15" customFormat="false" ht="15" hidden="false" customHeight="false" outlineLevel="0" collapsed="false">
      <c r="A15" s="2" t="s">
        <v>21</v>
      </c>
      <c r="B15" s="2" t="s">
        <v>22</v>
      </c>
    </row>
    <row r="16" customFormat="false" ht="15" hidden="false" customHeight="false" outlineLevel="0" collapsed="false">
      <c r="A16" s="2" t="s">
        <v>23</v>
      </c>
      <c r="B16" s="2" t="s">
        <v>24</v>
      </c>
    </row>
    <row r="17" customFormat="false" ht="15" hidden="false" customHeight="false" outlineLevel="0" collapsed="false">
      <c r="A17" s="2" t="s">
        <v>25</v>
      </c>
      <c r="B17" s="2" t="s">
        <v>26</v>
      </c>
    </row>
    <row r="18" customFormat="false" ht="15" hidden="false" customHeight="false" outlineLevel="0" collapsed="false">
      <c r="A18" s="2" t="s">
        <v>27</v>
      </c>
      <c r="B18" s="2" t="s">
        <v>28</v>
      </c>
    </row>
    <row r="19" customFormat="false" ht="15" hidden="false" customHeight="false" outlineLevel="0" collapsed="false">
      <c r="A19" s="2" t="s">
        <v>29</v>
      </c>
      <c r="B19" s="2" t="s">
        <v>30</v>
      </c>
    </row>
    <row r="20" customFormat="false" ht="15" hidden="false" customHeight="false" outlineLevel="0" collapsed="false">
      <c r="A20" s="2"/>
      <c r="B20" s="2"/>
    </row>
    <row r="21" customFormat="false" ht="15" hidden="false" customHeight="false" outlineLevel="0" collapsed="false">
      <c r="A21" s="3" t="s">
        <v>31</v>
      </c>
      <c r="B21" s="2"/>
    </row>
    <row r="22" customFormat="false" ht="15" hidden="false" customHeight="false" outlineLevel="0" collapsed="false">
      <c r="A22" s="2" t="s">
        <v>32</v>
      </c>
      <c r="B22" s="2" t="s">
        <v>33</v>
      </c>
    </row>
    <row r="23" customFormat="false" ht="15" hidden="false" customHeight="false" outlineLevel="0" collapsed="false">
      <c r="A23" s="2" t="s">
        <v>34</v>
      </c>
      <c r="B23" s="2" t="s">
        <v>35</v>
      </c>
    </row>
    <row r="24" customFormat="false" ht="23.85" hidden="false" customHeight="false" outlineLevel="0" collapsed="false">
      <c r="A24" s="2" t="s">
        <v>36</v>
      </c>
      <c r="B24" s="2" t="s">
        <v>37</v>
      </c>
    </row>
    <row r="25" customFormat="false" ht="15" hidden="false" customHeight="false" outlineLevel="0" collapsed="false">
      <c r="A25" s="2"/>
      <c r="B25" s="2"/>
    </row>
    <row r="26" customFormat="false" ht="15" hidden="false" customHeight="false" outlineLevel="0" collapsed="false">
      <c r="A26" s="2" t="s">
        <v>38</v>
      </c>
      <c r="B26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3"/>
    <col collapsed="false" customWidth="true" hidden="false" outlineLevel="0" max="11" min="11" style="0" width="19"/>
    <col collapsed="false" customWidth="true" hidden="false" outlineLevel="0" max="13" min="12" style="0" width="20"/>
    <col collapsed="false" customWidth="true" hidden="false" outlineLevel="0" max="14" min="14" style="0" width="12"/>
    <col collapsed="false" customWidth="true" hidden="false" outlineLevel="0" max="16" min="15" style="0" width="15"/>
    <col collapsed="false" customWidth="true" hidden="false" outlineLevel="0" max="17" min="17" style="0" width="12"/>
  </cols>
  <sheetData>
    <row r="1" customFormat="false" ht="33.75" hidden="false" customHeight="true" outlineLevel="0" collapsed="false">
      <c r="A1" s="4" t="s">
        <v>14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</row>
    <row r="2" customFormat="false" ht="57.45" hidden="false" customHeight="false" outlineLevel="0" collapsed="false">
      <c r="A2" s="5" t="s">
        <v>56</v>
      </c>
      <c r="B2" s="5" t="s">
        <v>57</v>
      </c>
      <c r="C2" s="5" t="s">
        <v>58</v>
      </c>
      <c r="D2" s="5" t="s">
        <v>59</v>
      </c>
      <c r="E2" s="5" t="n">
        <v>8030000000</v>
      </c>
      <c r="F2" s="5" t="s">
        <v>60</v>
      </c>
      <c r="G2" s="5" t="n">
        <v>32</v>
      </c>
      <c r="H2" s="5" t="n">
        <v>4096</v>
      </c>
      <c r="I2" s="5" t="n">
        <v>32</v>
      </c>
      <c r="J2" s="5" t="n">
        <v>8</v>
      </c>
      <c r="K2" s="5" t="n">
        <v>131072</v>
      </c>
      <c r="L2" s="5" t="n">
        <v>128256</v>
      </c>
      <c r="M2" s="5" t="s">
        <v>61</v>
      </c>
      <c r="N2" s="5" t="s">
        <v>62</v>
      </c>
      <c r="O2" s="5" t="s">
        <v>63</v>
      </c>
      <c r="P2" s="5" t="s">
        <v>64</v>
      </c>
      <c r="Q2" s="5" t="s">
        <v>65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</sheetData>
  <autoFilter ref="A1:Q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7"/>
    <col collapsed="false" customWidth="true" hidden="false" outlineLevel="0" max="10" min="10" style="0" width="20"/>
    <col collapsed="false" customWidth="true" hidden="false" outlineLevel="0" max="11" min="11" style="0" width="25"/>
    <col collapsed="false" customWidth="true" hidden="false" outlineLevel="0" max="12" min="12" style="0" width="12"/>
    <col collapsed="false" customWidth="true" hidden="false" outlineLevel="0" max="13" min="13" style="0" width="17"/>
    <col collapsed="false" customWidth="true" hidden="false" outlineLevel="0" max="14" min="14" style="0" width="23"/>
    <col collapsed="false" customWidth="true" hidden="false" outlineLevel="0" max="15" min="15" style="0" width="19"/>
  </cols>
  <sheetData>
    <row r="1" customFormat="false" ht="33.75" hidden="false" customHeight="true" outlineLevel="0" collapsed="false">
      <c r="A1" s="4" t="s">
        <v>66</v>
      </c>
      <c r="B1" s="4" t="s">
        <v>67</v>
      </c>
      <c r="C1" s="4" t="s">
        <v>68</v>
      </c>
      <c r="D1" s="4" t="s">
        <v>69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76</v>
      </c>
      <c r="L1" s="4" t="s">
        <v>77</v>
      </c>
      <c r="M1" s="4" t="s">
        <v>78</v>
      </c>
      <c r="N1" s="4" t="s">
        <v>79</v>
      </c>
      <c r="O1" s="4" t="s">
        <v>80</v>
      </c>
    </row>
    <row r="2" customFormat="false" ht="23.85" hidden="false" customHeight="false" outlineLevel="0" collapsed="false">
      <c r="A2" s="5" t="s">
        <v>81</v>
      </c>
      <c r="B2" s="5" t="s">
        <v>82</v>
      </c>
      <c r="C2" s="5" t="n">
        <v>8</v>
      </c>
      <c r="D2" s="5" t="n">
        <v>32</v>
      </c>
      <c r="E2" s="5" t="s">
        <v>83</v>
      </c>
      <c r="F2" s="5" t="n">
        <v>8</v>
      </c>
      <c r="G2" s="5" t="n">
        <v>115</v>
      </c>
      <c r="H2" s="5" t="s">
        <v>84</v>
      </c>
      <c r="I2" s="5" t="s">
        <v>85</v>
      </c>
      <c r="J2" s="5" t="s">
        <v>86</v>
      </c>
      <c r="K2" s="5" t="s">
        <v>87</v>
      </c>
      <c r="L2" s="5" t="s">
        <v>88</v>
      </c>
      <c r="M2" s="5" t="s">
        <v>89</v>
      </c>
      <c r="N2" s="5" t="n">
        <v>420</v>
      </c>
      <c r="O2" s="5" t="s">
        <v>90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</sheetData>
  <autoFilter ref="A1:O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27"/>
    <col collapsed="false" customWidth="true" hidden="false" outlineLevel="0" max="9" min="9" style="0" width="33"/>
    <col collapsed="false" customWidth="true" hidden="false" outlineLevel="0" max="10" min="10" style="0" width="15"/>
    <col collapsed="false" customWidth="true" hidden="false" outlineLevel="0" max="11" min="11" style="0" width="25"/>
    <col collapsed="false" customWidth="true" hidden="false" outlineLevel="0" max="13" min="12" style="0" width="19"/>
    <col collapsed="false" customWidth="true" hidden="false" outlineLevel="0" max="14" min="14" style="0" width="20"/>
    <col collapsed="false" customWidth="true" hidden="false" outlineLevel="0" max="15" min="15" style="0" width="19"/>
    <col collapsed="false" customWidth="true" hidden="false" outlineLevel="0" max="16" min="16" style="0" width="12"/>
    <col collapsed="false" customWidth="true" hidden="false" outlineLevel="0" max="17" min="17" style="0" width="19"/>
  </cols>
  <sheetData>
    <row r="1" customFormat="false" ht="33.75" hidden="false" customHeight="true" outlineLevel="0" collapsed="false">
      <c r="A1" s="4" t="s">
        <v>91</v>
      </c>
      <c r="B1" s="4" t="s">
        <v>92</v>
      </c>
      <c r="C1" s="4" t="s">
        <v>93</v>
      </c>
      <c r="D1" s="4" t="s">
        <v>94</v>
      </c>
      <c r="E1" s="4" t="s">
        <v>95</v>
      </c>
      <c r="F1" s="4" t="s">
        <v>96</v>
      </c>
      <c r="G1" s="4" t="s">
        <v>97</v>
      </c>
      <c r="H1" s="4" t="s">
        <v>98</v>
      </c>
      <c r="I1" s="4" t="s">
        <v>99</v>
      </c>
      <c r="J1" s="4" t="s">
        <v>100</v>
      </c>
      <c r="K1" s="4" t="s">
        <v>101</v>
      </c>
      <c r="L1" s="4" t="s">
        <v>102</v>
      </c>
      <c r="M1" s="4" t="s">
        <v>103</v>
      </c>
      <c r="N1" s="4" t="s">
        <v>104</v>
      </c>
      <c r="O1" s="4" t="s">
        <v>105</v>
      </c>
      <c r="P1" s="4" t="s">
        <v>106</v>
      </c>
      <c r="Q1" s="4" t="s">
        <v>107</v>
      </c>
    </row>
    <row r="2" customFormat="false" ht="35.05" hidden="false" customHeight="false" outlineLevel="0" collapsed="false">
      <c r="A2" s="5" t="s">
        <v>108</v>
      </c>
      <c r="B2" s="5" t="s">
        <v>109</v>
      </c>
      <c r="C2" s="5" t="s">
        <v>110</v>
      </c>
      <c r="D2" s="5" t="s">
        <v>111</v>
      </c>
      <c r="E2" s="5" t="s">
        <v>112</v>
      </c>
      <c r="F2" s="5" t="s">
        <v>112</v>
      </c>
      <c r="G2" s="5" t="n">
        <v>4</v>
      </c>
      <c r="H2" s="5" t="s">
        <v>113</v>
      </c>
      <c r="I2" s="5" t="s">
        <v>114</v>
      </c>
      <c r="J2" s="5" t="n">
        <v>128</v>
      </c>
      <c r="K2" s="5" t="s">
        <v>111</v>
      </c>
      <c r="L2" s="5" t="s">
        <v>115</v>
      </c>
      <c r="M2" s="5" t="s">
        <v>116</v>
      </c>
      <c r="N2" s="5" t="s">
        <v>117</v>
      </c>
      <c r="O2" s="5" t="s">
        <v>118</v>
      </c>
      <c r="P2" s="5" t="n">
        <v>2022</v>
      </c>
      <c r="Q2" s="5" t="s">
        <v>119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</sheetData>
  <autoFilter ref="A1:Q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10" min="8" style="0" width="24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4" min="13" style="0" width="12"/>
    <col collapsed="false" customWidth="true" hidden="false" outlineLevel="0" max="15" min="15" style="0" width="23"/>
    <col collapsed="false" customWidth="true" hidden="false" outlineLevel="0" max="16" min="16" style="0" width="12"/>
  </cols>
  <sheetData>
    <row r="1" customFormat="false" ht="33.75" hidden="false" customHeight="true" outlineLevel="0" collapsed="false">
      <c r="A1" s="4" t="s">
        <v>12</v>
      </c>
      <c r="B1" s="4" t="s">
        <v>120</v>
      </c>
      <c r="C1" s="4" t="s">
        <v>91</v>
      </c>
      <c r="D1" s="4" t="s">
        <v>121</v>
      </c>
      <c r="E1" s="4" t="s">
        <v>122</v>
      </c>
      <c r="F1" s="4" t="s">
        <v>123</v>
      </c>
      <c r="G1" s="4" t="s">
        <v>100</v>
      </c>
      <c r="H1" s="4" t="s">
        <v>124</v>
      </c>
      <c r="I1" s="4" t="s">
        <v>125</v>
      </c>
      <c r="J1" s="4" t="s">
        <v>126</v>
      </c>
      <c r="K1" s="4" t="s">
        <v>127</v>
      </c>
      <c r="L1" s="4" t="s">
        <v>128</v>
      </c>
      <c r="M1" s="4" t="s">
        <v>129</v>
      </c>
      <c r="N1" s="4" t="s">
        <v>130</v>
      </c>
      <c r="O1" s="4" t="s">
        <v>131</v>
      </c>
      <c r="P1" s="4" t="s">
        <v>55</v>
      </c>
    </row>
    <row r="2" customFormat="false" ht="23.85" hidden="false" customHeight="false" outlineLevel="0" collapsed="false">
      <c r="A2" s="5" t="s">
        <v>132</v>
      </c>
      <c r="B2" s="5" t="s">
        <v>56</v>
      </c>
      <c r="C2" s="5" t="s">
        <v>108</v>
      </c>
      <c r="D2" s="5" t="n">
        <v>4</v>
      </c>
      <c r="E2" s="5" t="n">
        <v>16</v>
      </c>
      <c r="F2" s="5" t="n">
        <v>16</v>
      </c>
      <c r="G2" s="5" t="n">
        <v>128</v>
      </c>
      <c r="H2" s="5" t="s">
        <v>133</v>
      </c>
      <c r="I2" s="5" t="s">
        <v>134</v>
      </c>
      <c r="J2" s="5" t="n">
        <v>128</v>
      </c>
      <c r="K2" s="5" t="s">
        <v>135</v>
      </c>
      <c r="L2" s="5" t="s">
        <v>136</v>
      </c>
      <c r="M2" s="5" t="s">
        <v>137</v>
      </c>
      <c r="N2" s="5" t="s">
        <v>81</v>
      </c>
      <c r="O2" s="5" t="s">
        <v>138</v>
      </c>
      <c r="P2" s="5" t="s">
        <v>139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</sheetData>
  <autoFilter ref="A1:P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17"/>
    <col collapsed="false" customWidth="true" hidden="false" outlineLevel="0" max="14" min="14" style="0" width="18"/>
    <col collapsed="false" customWidth="true" hidden="false" outlineLevel="0" max="16" min="15" style="0" width="15"/>
    <col collapsed="false" customWidth="true" hidden="false" outlineLevel="0" max="17" min="17" style="0" width="16"/>
    <col collapsed="false" customWidth="true" hidden="false" outlineLevel="0" max="18" min="18" style="0" width="12"/>
  </cols>
  <sheetData>
    <row r="1" customFormat="false" ht="33.75" hidden="false" customHeight="true" outlineLevel="0" collapsed="false">
      <c r="A1" s="4" t="s">
        <v>12</v>
      </c>
      <c r="B1" s="4" t="s">
        <v>120</v>
      </c>
      <c r="C1" s="4" t="s">
        <v>140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148</v>
      </c>
      <c r="L1" s="4" t="s">
        <v>149</v>
      </c>
      <c r="M1" s="4" t="s">
        <v>150</v>
      </c>
      <c r="N1" s="4" t="s">
        <v>151</v>
      </c>
      <c r="O1" s="4" t="s">
        <v>152</v>
      </c>
      <c r="P1" s="4" t="s">
        <v>153</v>
      </c>
      <c r="Q1" s="4" t="s">
        <v>27</v>
      </c>
      <c r="R1" s="4" t="s">
        <v>55</v>
      </c>
    </row>
    <row r="2" customFormat="false" ht="23.85" hidden="false" customHeight="false" outlineLevel="0" collapsed="false">
      <c r="A2" s="5" t="s">
        <v>154</v>
      </c>
      <c r="B2" s="5" t="s">
        <v>56</v>
      </c>
      <c r="C2" s="5" t="s">
        <v>155</v>
      </c>
      <c r="D2" s="5" t="s">
        <v>156</v>
      </c>
      <c r="E2" s="5" t="n">
        <v>512</v>
      </c>
      <c r="F2" s="5" t="n">
        <v>256</v>
      </c>
      <c r="G2" s="5" t="n">
        <v>38.2</v>
      </c>
      <c r="H2" s="5" t="n">
        <v>16.06</v>
      </c>
      <c r="I2" s="5" t="n">
        <v>17.4</v>
      </c>
      <c r="J2" s="5" t="n">
        <v>6.2</v>
      </c>
      <c r="K2" s="5" t="n">
        <v>0.42</v>
      </c>
      <c r="L2" s="5" t="n">
        <v>1219</v>
      </c>
      <c r="M2" s="5" t="n">
        <v>22.8</v>
      </c>
      <c r="N2" s="5" t="n">
        <v>11.65</v>
      </c>
      <c r="O2" s="5" t="n">
        <v>6.24</v>
      </c>
      <c r="P2" s="5" t="n">
        <v>0.682</v>
      </c>
      <c r="Q2" s="5" t="n">
        <v>0</v>
      </c>
      <c r="R2" s="5" t="s">
        <v>157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</row>
  </sheetData>
  <autoFilter ref="A1:R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5"/>
    <col collapsed="false" customWidth="true" hidden="false" outlineLevel="0" max="6" min="6" style="0" width="22"/>
    <col collapsed="false" customWidth="true" hidden="false" outlineLevel="0" max="7" min="7" style="0" width="21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20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158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16.06</v>
      </c>
      <c r="E2" s="5" t="n">
        <v>5.74</v>
      </c>
      <c r="F2" s="7" t="n">
        <f aca="false">D2-E2</f>
        <v>10.32</v>
      </c>
      <c r="G2" s="7" t="n">
        <f aca="false">IFERROR((D2-E2)/D2,"")</f>
        <v>0.642590286425903</v>
      </c>
      <c r="H2" s="5" t="n">
        <v>5.41</v>
      </c>
      <c r="I2" s="5" t="n">
        <v>0.33</v>
      </c>
      <c r="J2" s="5" t="n">
        <f aca="false">H2+I2</f>
        <v>5.74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19"/>
    <col collapsed="false" customWidth="true" hidden="false" outlineLevel="0" max="9" min="9" style="0" width="22"/>
    <col collapsed="false" customWidth="true" hidden="false" outlineLevel="0" max="10" min="10" style="0" width="24"/>
    <col collapsed="false" customWidth="true" hidden="false" outlineLevel="0" max="11" min="11" style="0" width="23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166</v>
      </c>
      <c r="E1" s="4" t="s">
        <v>167</v>
      </c>
      <c r="F1" s="4" t="s">
        <v>168</v>
      </c>
      <c r="G1" s="4" t="s">
        <v>169</v>
      </c>
      <c r="H1" s="4" t="s">
        <v>170</v>
      </c>
      <c r="I1" s="4" t="s">
        <v>171</v>
      </c>
      <c r="J1" s="4" t="s">
        <v>172</v>
      </c>
      <c r="K1" s="4" t="s">
        <v>173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5.74</v>
      </c>
      <c r="E2" s="5" t="n">
        <v>6.81</v>
      </c>
      <c r="F2" s="5" t="n">
        <v>3.1</v>
      </c>
      <c r="G2" s="5" t="n">
        <v>0.26</v>
      </c>
      <c r="H2" s="5" t="n">
        <v>0.81</v>
      </c>
      <c r="I2" s="5" t="n">
        <f aca="false">E2+F2</f>
        <v>9.91</v>
      </c>
      <c r="J2" s="7" t="n">
        <v>10.59</v>
      </c>
      <c r="K2" s="7" t="n">
        <v>0.6086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7"/>
    <col collapsed="false" customWidth="true" hidden="false" outlineLevel="0" max="9" min="9" style="0" width="26"/>
    <col collapsed="false" customWidth="true" hidden="false" outlineLevel="0" max="10" min="10" style="0" width="21"/>
    <col collapsed="false" customWidth="true" hidden="false" outlineLevel="0" max="11" min="11" style="0" width="24"/>
    <col collapsed="false" customWidth="true" hidden="false" outlineLevel="0" max="12" min="12" style="0" width="25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142</v>
      </c>
      <c r="E1" s="4" t="s">
        <v>143</v>
      </c>
      <c r="F1" s="4" t="s">
        <v>148</v>
      </c>
      <c r="G1" s="4" t="s">
        <v>149</v>
      </c>
      <c r="H1" s="4" t="s">
        <v>150</v>
      </c>
      <c r="I1" s="4" t="s">
        <v>174</v>
      </c>
      <c r="J1" s="4" t="s">
        <v>175</v>
      </c>
      <c r="K1" s="4" t="s">
        <v>176</v>
      </c>
      <c r="L1" s="4" t="s">
        <v>177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512</v>
      </c>
      <c r="E2" s="5" t="n">
        <v>256</v>
      </c>
      <c r="F2" s="5" t="n">
        <v>0.51</v>
      </c>
      <c r="G2" s="5" t="n">
        <v>1004</v>
      </c>
      <c r="H2" s="5" t="n">
        <v>34.6</v>
      </c>
      <c r="I2" s="5" t="n">
        <v>7.91</v>
      </c>
      <c r="J2" s="5" t="n">
        <f aca="false">IFERROR(E2/I2,"")</f>
        <v>32.3640960809102</v>
      </c>
      <c r="K2" s="5" t="n">
        <v>1.52</v>
      </c>
      <c r="L2" s="5" t="s">
        <v>178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9"/>
    <col collapsed="false" customWidth="true" hidden="false" outlineLevel="0" max="7" min="7" style="0" width="18"/>
    <col collapsed="false" customWidth="true" hidden="false" outlineLevel="0" max="10" min="8" style="0" width="16"/>
    <col collapsed="false" customWidth="true" hidden="false" outlineLevel="0" max="11" min="11" style="0" width="21"/>
    <col collapsed="false" customWidth="true" hidden="false" outlineLevel="0" max="12" min="12" style="0" width="26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179</v>
      </c>
      <c r="D1" s="4" t="s">
        <v>180</v>
      </c>
      <c r="E1" s="4" t="s">
        <v>148</v>
      </c>
      <c r="F1" s="4" t="s">
        <v>181</v>
      </c>
      <c r="G1" s="4" t="s">
        <v>151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n">
        <v>512</v>
      </c>
      <c r="D2" s="5" t="n">
        <v>256</v>
      </c>
      <c r="E2" s="5" t="n">
        <v>0.51</v>
      </c>
      <c r="F2" s="5" t="n">
        <f aca="false">IFERROR((G2-E2)/D2,"")</f>
        <v>0.02890625</v>
      </c>
      <c r="G2" s="5" t="n">
        <v>7.91</v>
      </c>
      <c r="H2" s="5" t="n">
        <v>7.84</v>
      </c>
      <c r="I2" s="5" t="n">
        <v>8.42</v>
      </c>
      <c r="J2" s="5" t="n">
        <v>8.9</v>
      </c>
      <c r="K2" s="5" t="n">
        <v>11.65</v>
      </c>
      <c r="L2" s="7" t="n">
        <f aca="false">IFERROR((K2-G2)/K2,"")</f>
        <v>0.321030042918455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9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17"/>
    <col collapsed="false" customWidth="true" hidden="false" outlineLevel="0" max="11" min="11" style="0" width="26"/>
    <col collapsed="false" customWidth="true" hidden="false" outlineLevel="0" max="12" min="12" style="0" width="25"/>
    <col collapsed="false" customWidth="true" hidden="false" outlineLevel="0" max="13" min="13" style="0" width="15"/>
    <col collapsed="false" customWidth="true" hidden="false" outlineLevel="0" max="14" min="14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49</v>
      </c>
      <c r="E1" s="4" t="s">
        <v>142</v>
      </c>
      <c r="F1" s="4" t="s">
        <v>143</v>
      </c>
      <c r="G1" s="4" t="s">
        <v>187</v>
      </c>
      <c r="H1" s="4" t="s">
        <v>149</v>
      </c>
      <c r="I1" s="4" t="s">
        <v>188</v>
      </c>
      <c r="J1" s="4" t="s">
        <v>150</v>
      </c>
      <c r="K1" s="4" t="s">
        <v>189</v>
      </c>
      <c r="L1" s="4" t="s">
        <v>190</v>
      </c>
      <c r="M1" s="4" t="s">
        <v>191</v>
      </c>
      <c r="N1" s="4" t="s">
        <v>55</v>
      </c>
    </row>
    <row r="2" customFormat="false" ht="46.2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2048</v>
      </c>
      <c r="E2" s="5" t="n">
        <v>512</v>
      </c>
      <c r="F2" s="5" t="n">
        <v>256</v>
      </c>
      <c r="G2" s="5" t="n">
        <v>0.51</v>
      </c>
      <c r="H2" s="5" t="n">
        <f aca="false">IFERROR(E2/G2,"")</f>
        <v>1003.92156862745</v>
      </c>
      <c r="I2" s="5" t="n">
        <v>7.4</v>
      </c>
      <c r="J2" s="5" t="n">
        <f aca="false">IFERROR(F2/I2,"")</f>
        <v>34.5945945945946</v>
      </c>
      <c r="K2" s="5" t="n">
        <v>6.95</v>
      </c>
      <c r="L2" s="5" t="n">
        <v>6.81</v>
      </c>
      <c r="M2" s="5" t="s">
        <v>192</v>
      </c>
      <c r="N2" s="5" t="s">
        <v>193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</sheetData>
  <autoFilter ref="A1:N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21"/>
    <col collapsed="false" customWidth="true" hidden="false" outlineLevel="0" max="8" min="8" style="0" width="15"/>
    <col collapsed="false" customWidth="true" hidden="false" outlineLevel="0" max="9" min="9" style="0" width="24"/>
    <col collapsed="false" customWidth="true" hidden="false" outlineLevel="0" max="11" min="10" style="0" width="17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4" t="s">
        <v>12</v>
      </c>
      <c r="B1" s="4" t="s">
        <v>120</v>
      </c>
      <c r="C1" s="4" t="s">
        <v>91</v>
      </c>
      <c r="D1" s="4" t="s">
        <v>140</v>
      </c>
      <c r="E1" s="4" t="s">
        <v>194</v>
      </c>
      <c r="F1" s="4" t="s">
        <v>195</v>
      </c>
      <c r="G1" s="4" t="s">
        <v>196</v>
      </c>
      <c r="H1" s="4" t="s">
        <v>152</v>
      </c>
      <c r="I1" s="4" t="s">
        <v>197</v>
      </c>
      <c r="J1" s="4" t="s">
        <v>198</v>
      </c>
      <c r="K1" s="4" t="s">
        <v>199</v>
      </c>
      <c r="L1" s="4" t="s">
        <v>55</v>
      </c>
    </row>
    <row r="2" customFormat="false" ht="23.85" hidden="false" customHeight="false" outlineLevel="0" collapsed="false">
      <c r="A2" s="5" t="s">
        <v>132</v>
      </c>
      <c r="B2" s="5" t="s">
        <v>56</v>
      </c>
      <c r="C2" s="5" t="s">
        <v>108</v>
      </c>
      <c r="D2" s="5" t="s">
        <v>165</v>
      </c>
      <c r="E2" s="5" t="s">
        <v>200</v>
      </c>
      <c r="F2" s="5" t="s">
        <v>201</v>
      </c>
      <c r="G2" s="5" t="n">
        <v>287645</v>
      </c>
      <c r="H2" s="5" t="n">
        <v>6.51</v>
      </c>
      <c r="I2" s="5" t="n">
        <v>6.24</v>
      </c>
      <c r="J2" s="5" t="n">
        <f aca="false">H2-I2</f>
        <v>0.27</v>
      </c>
      <c r="K2" s="7" t="n">
        <f aca="false">IFERROR((H2-I2)/I2,"")</f>
        <v>0.0432692307692307</v>
      </c>
      <c r="L2" s="5" t="s">
        <v>202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5" min="4" style="0" width="14"/>
    <col collapsed="false" customWidth="true" hidden="false" outlineLevel="0" max="8" min="6" style="0" width="12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18"/>
    <col collapsed="false" customWidth="true" hidden="false" outlineLevel="0" max="12" min="12" style="0" width="25"/>
  </cols>
  <sheetData>
    <row r="1" customFormat="false" ht="33.75" hidden="false" customHeight="true" outlineLevel="0" collapsed="false">
      <c r="A1" s="4" t="s">
        <v>12</v>
      </c>
      <c r="B1" s="4" t="s">
        <v>120</v>
      </c>
      <c r="C1" s="4" t="s">
        <v>91</v>
      </c>
      <c r="D1" s="4" t="s">
        <v>140</v>
      </c>
      <c r="E1" s="4" t="s">
        <v>203</v>
      </c>
      <c r="F1" s="4" t="s">
        <v>204</v>
      </c>
      <c r="G1" s="4" t="s">
        <v>205</v>
      </c>
      <c r="H1" s="4" t="s">
        <v>206</v>
      </c>
      <c r="I1" s="4" t="s">
        <v>207</v>
      </c>
      <c r="J1" s="4" t="s">
        <v>208</v>
      </c>
      <c r="K1" s="4" t="s">
        <v>209</v>
      </c>
      <c r="L1" s="4" t="s">
        <v>210</v>
      </c>
    </row>
    <row r="2" customFormat="false" ht="23.85" hidden="false" customHeight="false" outlineLevel="0" collapsed="false">
      <c r="A2" s="5" t="s">
        <v>132</v>
      </c>
      <c r="B2" s="5" t="s">
        <v>56</v>
      </c>
      <c r="C2" s="5" t="s">
        <v>108</v>
      </c>
      <c r="D2" s="5" t="s">
        <v>165</v>
      </c>
      <c r="E2" s="5" t="s">
        <v>211</v>
      </c>
      <c r="F2" s="5" t="s">
        <v>212</v>
      </c>
      <c r="G2" s="5" t="n">
        <v>14042</v>
      </c>
      <c r="H2" s="5" t="n">
        <v>9385</v>
      </c>
      <c r="I2" s="7" t="n">
        <f aca="false">IFERROR(H2/G2,"")</f>
        <v>0.668352086597351</v>
      </c>
      <c r="J2" s="7" t="n">
        <v>0.682</v>
      </c>
      <c r="K2" s="8" t="n">
        <f aca="false">J2-I2</f>
        <v>0.0136479134026493</v>
      </c>
      <c r="L2" s="7" t="n">
        <f aca="false">IFERROR(I2/J2,"")</f>
        <v>0.979988396770309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23"/>
    <col collapsed="false" customWidth="true" hidden="false" outlineLevel="0" max="9" min="9" style="0" width="24"/>
    <col collapsed="false" customWidth="true" hidden="false" outlineLevel="0" max="10" min="10" style="0" width="29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213</v>
      </c>
      <c r="E1" s="4" t="s">
        <v>214</v>
      </c>
      <c r="F1" s="4" t="s">
        <v>215</v>
      </c>
      <c r="G1" s="4" t="s">
        <v>216</v>
      </c>
      <c r="H1" s="4" t="s">
        <v>173</v>
      </c>
      <c r="I1" s="4" t="s">
        <v>217</v>
      </c>
      <c r="J1" s="4" t="s">
        <v>218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0.682</v>
      </c>
      <c r="E2" s="5" t="n">
        <v>0.668</v>
      </c>
      <c r="F2" s="7" t="n">
        <f aca="false">D2-E2</f>
        <v>0.014</v>
      </c>
      <c r="G2" s="7" t="n">
        <f aca="false">IFERROR(E2/D2,"")</f>
        <v>0.979472140762463</v>
      </c>
      <c r="H2" s="7" t="n">
        <v>0.6086</v>
      </c>
      <c r="I2" s="7" t="n">
        <v>0.5175</v>
      </c>
      <c r="J2" s="5" t="n">
        <f aca="false">IFERROR(G2*(1+H2)*(1+I2),"")</f>
        <v>2.39094095894428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2"/>
    <col collapsed="false" customWidth="true" hidden="false" outlineLevel="0" max="6" min="5" style="0" width="17"/>
    <col collapsed="false" customWidth="true" hidden="false" outlineLevel="0" max="8" min="7" style="0" width="18"/>
    <col collapsed="false" customWidth="true" hidden="false" outlineLevel="0" max="11" min="9" style="0" width="12"/>
    <col collapsed="false" customWidth="true" hidden="false" outlineLevel="0" max="12" min="12" style="0" width="23"/>
    <col collapsed="false" customWidth="true" hidden="false" outlineLevel="0" max="13" min="13" style="0" width="19"/>
    <col collapsed="false" customWidth="true" hidden="false" outlineLevel="0" max="14" min="14" style="0" width="23"/>
    <col collapsed="false" customWidth="true" hidden="false" outlineLevel="0" max="15" min="15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219</v>
      </c>
      <c r="D1" s="4" t="s">
        <v>220</v>
      </c>
      <c r="E1" s="4" t="s">
        <v>221</v>
      </c>
      <c r="F1" s="4" t="s">
        <v>222</v>
      </c>
      <c r="G1" s="4" t="s">
        <v>223</v>
      </c>
      <c r="H1" s="4" t="s">
        <v>224</v>
      </c>
      <c r="I1" s="4" t="s">
        <v>225</v>
      </c>
      <c r="J1" s="4" t="s">
        <v>226</v>
      </c>
      <c r="K1" s="4" t="s">
        <v>227</v>
      </c>
      <c r="L1" s="4" t="s">
        <v>228</v>
      </c>
      <c r="M1" s="4" t="s">
        <v>229</v>
      </c>
      <c r="N1" s="4" t="s">
        <v>230</v>
      </c>
      <c r="O1" s="4" t="s">
        <v>55</v>
      </c>
    </row>
    <row r="2" customFormat="false" ht="46.25" hidden="false" customHeight="false" outlineLevel="0" collapsed="false">
      <c r="A2" s="5" t="s">
        <v>132</v>
      </c>
      <c r="B2" s="5" t="s">
        <v>108</v>
      </c>
      <c r="C2" s="5" t="n">
        <v>15</v>
      </c>
      <c r="D2" s="5" t="s">
        <v>231</v>
      </c>
      <c r="E2" s="5" t="n">
        <v>-0.1842</v>
      </c>
      <c r="F2" s="5" t="n">
        <v>0.1791</v>
      </c>
      <c r="G2" s="5" t="n">
        <v>-0.1836</v>
      </c>
      <c r="H2" s="5" t="n">
        <v>0.1785</v>
      </c>
      <c r="I2" s="5" t="n">
        <v>0.00131</v>
      </c>
      <c r="J2" s="5" t="n">
        <v>3.4E-006</v>
      </c>
      <c r="K2" s="5" t="n">
        <f aca="false">IFERROR(SQRT(J2),"")</f>
        <v>0.00184390889145858</v>
      </c>
      <c r="L2" s="5" t="n">
        <v>0.0148</v>
      </c>
      <c r="M2" s="5" t="n">
        <v>0.0091</v>
      </c>
      <c r="N2" s="5" t="n">
        <f aca="false">H2-G2</f>
        <v>0.3621</v>
      </c>
      <c r="O2" s="5" t="s">
        <v>232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</sheetData>
  <autoFilter ref="A1:O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24"/>
    <col collapsed="false" customWidth="true" hidden="false" outlineLevel="0" max="6" min="6" style="0" width="25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15"/>
    <col collapsed="false" customWidth="true" hidden="false" outlineLevel="0" max="10" min="10" style="0" width="21"/>
    <col collapsed="false" customWidth="true" hidden="false" outlineLevel="0" max="11" min="11" style="0" width="22"/>
    <col collapsed="false" customWidth="true" hidden="false" outlineLevel="0" max="12" min="12" style="0" width="21"/>
    <col collapsed="false" customWidth="true" hidden="false" outlineLevel="0" max="13" min="13" style="0" width="26"/>
  </cols>
  <sheetData>
    <row r="1" customFormat="false" ht="33.75" hidden="false" customHeight="true" outlineLevel="0" collapsed="false">
      <c r="A1" s="4" t="s">
        <v>12</v>
      </c>
      <c r="B1" s="4" t="s">
        <v>233</v>
      </c>
      <c r="C1" s="4" t="s">
        <v>234</v>
      </c>
      <c r="D1" s="4" t="s">
        <v>140</v>
      </c>
      <c r="E1" s="4" t="s">
        <v>197</v>
      </c>
      <c r="F1" s="4" t="s">
        <v>235</v>
      </c>
      <c r="G1" s="4" t="s">
        <v>198</v>
      </c>
      <c r="H1" s="4" t="s">
        <v>209</v>
      </c>
      <c r="I1" s="4" t="s">
        <v>236</v>
      </c>
      <c r="J1" s="4" t="s">
        <v>237</v>
      </c>
      <c r="K1" s="4" t="s">
        <v>238</v>
      </c>
      <c r="L1" s="4" t="s">
        <v>239</v>
      </c>
      <c r="M1" s="4" t="s">
        <v>240</v>
      </c>
    </row>
    <row r="2" customFormat="false" ht="23.85" hidden="false" customHeight="false" outlineLevel="0" collapsed="false">
      <c r="A2" s="5" t="s">
        <v>132</v>
      </c>
      <c r="B2" s="5" t="n">
        <v>0</v>
      </c>
      <c r="C2" s="5" t="s">
        <v>241</v>
      </c>
      <c r="D2" s="5" t="s">
        <v>242</v>
      </c>
      <c r="E2" s="5" t="n">
        <v>6.24</v>
      </c>
      <c r="F2" s="5" t="n">
        <v>7.08</v>
      </c>
      <c r="G2" s="5" t="n">
        <f aca="false">F2-E2</f>
        <v>0.84</v>
      </c>
      <c r="H2" s="5" t="n">
        <v>0.031</v>
      </c>
      <c r="I2" s="5" t="n">
        <v>0.00214</v>
      </c>
      <c r="J2" s="5" t="n">
        <v>0.0182</v>
      </c>
      <c r="K2" s="5" t="n">
        <f aca="false">IFERROR(G2/E2,"")</f>
        <v>0.134615384615385</v>
      </c>
      <c r="L2" s="5" t="n">
        <v>1</v>
      </c>
      <c r="M2" s="5" t="s">
        <v>243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</sheetData>
  <autoFilter ref="A1:M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8" min="2" style="0" width="12"/>
    <col collapsed="false" customWidth="true" hidden="false" outlineLevel="0" max="9" min="9" style="0" width="17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18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</cols>
  <sheetData>
    <row r="1" customFormat="false" ht="33.75" hidden="false" customHeight="true" outlineLevel="0" collapsed="false">
      <c r="A1" s="4" t="s">
        <v>12</v>
      </c>
      <c r="B1" s="4" t="s">
        <v>219</v>
      </c>
      <c r="C1" s="4" t="s">
        <v>220</v>
      </c>
      <c r="D1" s="4" t="s">
        <v>194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55</v>
      </c>
    </row>
    <row r="2" customFormat="false" ht="79.85" hidden="false" customHeight="false" outlineLevel="0" collapsed="false">
      <c r="A2" s="5" t="s">
        <v>132</v>
      </c>
      <c r="B2" s="5" t="n">
        <v>20</v>
      </c>
      <c r="C2" s="5" t="s">
        <v>254</v>
      </c>
      <c r="D2" s="5" t="s">
        <v>255</v>
      </c>
      <c r="E2" s="5" t="n">
        <v>-41.6</v>
      </c>
      <c r="F2" s="5" t="n">
        <v>58.3</v>
      </c>
      <c r="G2" s="5" t="n">
        <v>0.012</v>
      </c>
      <c r="H2" s="5" t="n">
        <v>1.84</v>
      </c>
      <c r="I2" s="5" t="n">
        <v>58.3</v>
      </c>
      <c r="J2" s="5" t="n">
        <v>6.12</v>
      </c>
      <c r="K2" s="5" t="n">
        <v>18.74</v>
      </c>
      <c r="L2" s="5" t="n">
        <v>3142</v>
      </c>
      <c r="M2" s="7" t="n">
        <v>0.0021</v>
      </c>
      <c r="N2" s="5" t="n">
        <v>0.0374</v>
      </c>
      <c r="O2" s="5" t="s">
        <v>256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</sheetData>
  <autoFilter ref="A1:O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8" min="2" style="0" width="12"/>
    <col collapsed="false" customWidth="true" hidden="false" outlineLevel="0" max="9" min="9" style="0" width="17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3" min="12" style="0" width="18"/>
    <col collapsed="false" customWidth="true" hidden="false" outlineLevel="0" max="15" min="14" style="0" width="15"/>
    <col collapsed="false" customWidth="true" hidden="false" outlineLevel="0" max="16" min="16" style="0" width="12"/>
  </cols>
  <sheetData>
    <row r="1" customFormat="false" ht="33.75" hidden="false" customHeight="true" outlineLevel="0" collapsed="false">
      <c r="A1" s="4" t="s">
        <v>12</v>
      </c>
      <c r="B1" s="4" t="s">
        <v>219</v>
      </c>
      <c r="C1" s="4" t="s">
        <v>220</v>
      </c>
      <c r="D1" s="4" t="s">
        <v>244</v>
      </c>
      <c r="E1" s="4" t="s">
        <v>245</v>
      </c>
      <c r="F1" s="4" t="s">
        <v>246</v>
      </c>
      <c r="G1" s="4" t="s">
        <v>247</v>
      </c>
      <c r="H1" s="4" t="s">
        <v>257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258</v>
      </c>
      <c r="N1" s="4" t="s">
        <v>236</v>
      </c>
      <c r="O1" s="4" t="s">
        <v>259</v>
      </c>
      <c r="P1" s="4" t="s">
        <v>55</v>
      </c>
    </row>
    <row r="2" customFormat="false" ht="23.85" hidden="false" customHeight="false" outlineLevel="0" collapsed="false">
      <c r="A2" s="5" t="s">
        <v>132</v>
      </c>
      <c r="B2" s="5" t="n">
        <v>20</v>
      </c>
      <c r="C2" s="5" t="s">
        <v>231</v>
      </c>
      <c r="D2" s="5" t="n">
        <v>-0.1842</v>
      </c>
      <c r="E2" s="5" t="n">
        <v>0.1791</v>
      </c>
      <c r="F2" s="5" t="n">
        <v>-2E-005</v>
      </c>
      <c r="G2" s="5" t="n">
        <v>0.0198</v>
      </c>
      <c r="H2" s="5" t="n">
        <v>-1E-005</v>
      </c>
      <c r="I2" s="5" t="n">
        <v>0.1842</v>
      </c>
      <c r="J2" s="5" t="n">
        <v>0.0521</v>
      </c>
      <c r="K2" s="5" t="n">
        <v>0.0894</v>
      </c>
      <c r="L2" s="5" t="n">
        <v>8431</v>
      </c>
      <c r="M2" s="7" t="n">
        <v>0.0004</v>
      </c>
      <c r="N2" s="5" t="n">
        <v>0.00131</v>
      </c>
      <c r="O2" s="5" t="n">
        <v>3.4E-006</v>
      </c>
      <c r="P2" s="5" t="s">
        <v>260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</sheetData>
  <autoFilter ref="A1:P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22"/>
    <col collapsed="false" customWidth="true" hidden="false" outlineLevel="0" max="14" min="14" style="0" width="18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97</v>
      </c>
      <c r="D1" s="4" t="s">
        <v>100</v>
      </c>
      <c r="E1" s="4" t="s">
        <v>145</v>
      </c>
      <c r="F1" s="4" t="s">
        <v>163</v>
      </c>
      <c r="G1" s="4" t="s">
        <v>152</v>
      </c>
      <c r="H1" s="4" t="s">
        <v>207</v>
      </c>
      <c r="I1" s="4" t="s">
        <v>146</v>
      </c>
      <c r="J1" s="4" t="s">
        <v>148</v>
      </c>
      <c r="K1" s="4" t="s">
        <v>149</v>
      </c>
      <c r="L1" s="4" t="s">
        <v>150</v>
      </c>
      <c r="M1" s="4" t="s">
        <v>261</v>
      </c>
      <c r="N1" s="4" t="s">
        <v>262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n">
        <v>4</v>
      </c>
      <c r="D2" s="5" t="n">
        <v>128</v>
      </c>
      <c r="E2" s="5" t="n">
        <v>5.74</v>
      </c>
      <c r="F2" s="5" t="n">
        <v>0.33</v>
      </c>
      <c r="G2" s="5" t="n">
        <v>6.51</v>
      </c>
      <c r="H2" s="7" t="n">
        <v>0.668</v>
      </c>
      <c r="I2" s="5" t="n">
        <v>6.81</v>
      </c>
      <c r="J2" s="5" t="n">
        <v>0.51</v>
      </c>
      <c r="K2" s="5" t="n">
        <v>1004</v>
      </c>
      <c r="L2" s="5" t="n">
        <v>34.6</v>
      </c>
      <c r="M2" s="7" t="n">
        <v>0.9795</v>
      </c>
      <c r="N2" s="5" t="n">
        <v>0.88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</sheetData>
  <autoFilter ref="A1:N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5"/>
    <col collapsed="false" customWidth="true" hidden="false" outlineLevel="0" max="13" min="13" style="0" width="20"/>
    <col collapsed="false" customWidth="true" hidden="false" outlineLevel="0" max="14" min="14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125</v>
      </c>
      <c r="D1" s="4" t="s">
        <v>263</v>
      </c>
      <c r="E1" s="4" t="s">
        <v>205</v>
      </c>
      <c r="F1" s="4" t="s">
        <v>264</v>
      </c>
      <c r="G1" s="4" t="s">
        <v>265</v>
      </c>
      <c r="H1" s="4" t="s">
        <v>266</v>
      </c>
      <c r="I1" s="4" t="s">
        <v>152</v>
      </c>
      <c r="J1" s="4" t="s">
        <v>207</v>
      </c>
      <c r="K1" s="4" t="s">
        <v>267</v>
      </c>
      <c r="L1" s="4" t="s">
        <v>145</v>
      </c>
      <c r="M1" s="4" t="s">
        <v>268</v>
      </c>
      <c r="N1" s="4" t="s">
        <v>55</v>
      </c>
    </row>
    <row r="2" customFormat="false" ht="46.25" hidden="false" customHeight="false" outlineLevel="0" collapsed="false">
      <c r="A2" s="5" t="s">
        <v>132</v>
      </c>
      <c r="B2" s="5" t="s">
        <v>108</v>
      </c>
      <c r="C2" s="5" t="s">
        <v>134</v>
      </c>
      <c r="D2" s="5" t="s">
        <v>269</v>
      </c>
      <c r="E2" s="5" t="n">
        <v>128</v>
      </c>
      <c r="F2" s="5" t="n">
        <v>262144</v>
      </c>
      <c r="G2" s="5" t="n">
        <v>2048</v>
      </c>
      <c r="H2" s="5" t="n">
        <v>1284</v>
      </c>
      <c r="I2" s="5" t="n">
        <v>6.51</v>
      </c>
      <c r="J2" s="7" t="n">
        <v>0.668</v>
      </c>
      <c r="K2" s="7" t="n">
        <v>0.014</v>
      </c>
      <c r="L2" s="5" t="n">
        <v>5.74</v>
      </c>
      <c r="M2" s="5" t="n">
        <v>34.6</v>
      </c>
      <c r="N2" s="5" t="s">
        <v>270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</sheetData>
  <autoFilter ref="A1:N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9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7"/>
    <col collapsed="false" customWidth="true" hidden="false" outlineLevel="0" max="10" min="10" style="0" width="14"/>
    <col collapsed="false" customWidth="true" hidden="false" outlineLevel="0" max="12" min="11" style="0" width="13"/>
    <col collapsed="false" customWidth="true" hidden="false" outlineLevel="0" max="13" min="13" style="0" width="18"/>
    <col collapsed="false" customWidth="true" hidden="false" outlineLevel="0" max="14" min="14" style="0" width="25"/>
    <col collapsed="false" customWidth="true" hidden="false" outlineLevel="0" max="15" min="15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49</v>
      </c>
      <c r="E1" s="4" t="s">
        <v>142</v>
      </c>
      <c r="F1" s="4" t="s">
        <v>143</v>
      </c>
      <c r="G1" s="4" t="s">
        <v>148</v>
      </c>
      <c r="H1" s="4" t="s">
        <v>149</v>
      </c>
      <c r="I1" s="4" t="s">
        <v>150</v>
      </c>
      <c r="J1" s="4" t="s">
        <v>146</v>
      </c>
      <c r="K1" s="4" t="s">
        <v>147</v>
      </c>
      <c r="L1" s="4" t="s">
        <v>271</v>
      </c>
      <c r="M1" s="4" t="s">
        <v>151</v>
      </c>
      <c r="N1" s="4" t="s">
        <v>272</v>
      </c>
      <c r="O1" s="4" t="s">
        <v>55</v>
      </c>
    </row>
    <row r="2" customFormat="false" ht="46.2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8192</v>
      </c>
      <c r="E2" s="5" t="n">
        <v>8192</v>
      </c>
      <c r="F2" s="5" t="n">
        <v>256</v>
      </c>
      <c r="G2" s="5" t="n">
        <v>6.84</v>
      </c>
      <c r="H2" s="5" t="n">
        <v>1197</v>
      </c>
      <c r="I2" s="5" t="n">
        <v>29.4</v>
      </c>
      <c r="J2" s="5" t="n">
        <v>7.62</v>
      </c>
      <c r="K2" s="5" t="n">
        <v>3.2</v>
      </c>
      <c r="L2" s="5" t="n">
        <v>1.02</v>
      </c>
      <c r="M2" s="5" t="n">
        <v>15.55</v>
      </c>
      <c r="N2" s="5" t="n">
        <v>6.58</v>
      </c>
      <c r="O2" s="5" t="s">
        <v>273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</sheetData>
  <autoFilter ref="A1:O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1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3"/>
    <col collapsed="false" customWidth="true" hidden="false" outlineLevel="0" max="7" min="7" style="0" width="19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3" min="12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274</v>
      </c>
      <c r="D1" s="4" t="s">
        <v>275</v>
      </c>
      <c r="E1" s="4" t="s">
        <v>49</v>
      </c>
      <c r="F1" s="4" t="s">
        <v>276</v>
      </c>
      <c r="G1" s="4" t="s">
        <v>277</v>
      </c>
      <c r="H1" s="4" t="s">
        <v>278</v>
      </c>
      <c r="I1" s="4" t="s">
        <v>146</v>
      </c>
      <c r="J1" s="4" t="s">
        <v>279</v>
      </c>
      <c r="K1" s="4" t="s">
        <v>150</v>
      </c>
      <c r="L1" s="4" t="s">
        <v>280</v>
      </c>
      <c r="M1" s="4" t="s">
        <v>55</v>
      </c>
    </row>
    <row r="2" customFormat="false" ht="46.25" hidden="false" customHeight="false" outlineLevel="0" collapsed="false">
      <c r="A2" s="5" t="s">
        <v>281</v>
      </c>
      <c r="B2" s="5" t="s">
        <v>282</v>
      </c>
      <c r="C2" s="5" t="s">
        <v>242</v>
      </c>
      <c r="D2" s="5" t="s">
        <v>283</v>
      </c>
      <c r="E2" s="5" t="n">
        <v>8192</v>
      </c>
      <c r="F2" s="5" t="n">
        <v>8</v>
      </c>
      <c r="G2" s="5" t="n">
        <v>128</v>
      </c>
      <c r="H2" s="5" t="n">
        <v>0.51</v>
      </c>
      <c r="I2" s="5" t="n">
        <v>7.11</v>
      </c>
      <c r="J2" s="5" t="n">
        <v>6.2E-005</v>
      </c>
      <c r="K2" s="5" t="n">
        <v>31.8</v>
      </c>
      <c r="L2" s="5" t="n">
        <v>6.6</v>
      </c>
      <c r="M2" s="5" t="s">
        <v>284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</sheetData>
  <autoFilter ref="A1:M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25"/>
    <col collapsed="false" customWidth="true" hidden="false" outlineLevel="0" max="6" min="6" style="0" width="20"/>
    <col collapsed="false" customWidth="true" hidden="false" outlineLevel="0" max="7" min="7" style="0" width="27"/>
    <col collapsed="false" customWidth="true" hidden="false" outlineLevel="0" max="8" min="8" style="0" width="2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7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285</v>
      </c>
      <c r="E1" s="4" t="s">
        <v>286</v>
      </c>
      <c r="F1" s="4" t="s">
        <v>287</v>
      </c>
      <c r="G1" s="4" t="s">
        <v>288</v>
      </c>
      <c r="H1" s="4" t="s">
        <v>289</v>
      </c>
      <c r="I1" s="4" t="s">
        <v>23</v>
      </c>
      <c r="J1" s="4" t="s">
        <v>27</v>
      </c>
      <c r="K1" s="4" t="s">
        <v>150</v>
      </c>
      <c r="L1" s="4" t="s">
        <v>55</v>
      </c>
    </row>
    <row r="2" customFormat="false" ht="46.25" hidden="false" customHeight="false" outlineLevel="0" collapsed="false">
      <c r="A2" s="5" t="s">
        <v>132</v>
      </c>
      <c r="B2" s="5" t="s">
        <v>108</v>
      </c>
      <c r="C2" s="5" t="s">
        <v>165</v>
      </c>
      <c r="D2" s="7" t="n">
        <v>0.71</v>
      </c>
      <c r="E2" s="7" t="n">
        <v>0.98</v>
      </c>
      <c r="F2" s="5" t="n">
        <v>6.81</v>
      </c>
      <c r="G2" s="7" t="n">
        <v>0.851</v>
      </c>
      <c r="H2" s="7" t="n">
        <v>0.34</v>
      </c>
      <c r="I2" s="5" t="n">
        <v>88.5</v>
      </c>
      <c r="J2" s="5" t="n">
        <v>72</v>
      </c>
      <c r="K2" s="5" t="n">
        <v>34.6</v>
      </c>
      <c r="L2" s="5" t="s">
        <v>290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25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9" min="8" style="0" width="20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291</v>
      </c>
      <c r="D1" s="4" t="s">
        <v>292</v>
      </c>
      <c r="E1" s="4" t="s">
        <v>293</v>
      </c>
      <c r="F1" s="4" t="s">
        <v>147</v>
      </c>
      <c r="G1" s="4" t="s">
        <v>294</v>
      </c>
      <c r="H1" s="4" t="s">
        <v>295</v>
      </c>
      <c r="I1" s="4" t="s">
        <v>296</v>
      </c>
      <c r="J1" s="4" t="s">
        <v>297</v>
      </c>
      <c r="K1" s="4" t="s">
        <v>298</v>
      </c>
      <c r="L1" s="4" t="s">
        <v>299</v>
      </c>
      <c r="M1" s="4" t="s">
        <v>55</v>
      </c>
    </row>
    <row r="2" customFormat="false" ht="35.05" hidden="false" customHeight="false" outlineLevel="0" collapsed="false">
      <c r="A2" s="5" t="s">
        <v>132</v>
      </c>
      <c r="B2" s="5" t="s">
        <v>108</v>
      </c>
      <c r="C2" s="7" t="n">
        <v>0.18</v>
      </c>
      <c r="D2" s="7" t="n">
        <v>0.64</v>
      </c>
      <c r="E2" s="5" t="n">
        <v>2.8</v>
      </c>
      <c r="F2" s="5" t="n">
        <v>3.1</v>
      </c>
      <c r="G2" s="7" t="n">
        <f aca="false">IFERROR(F2/32,"")</f>
        <v>0.096875</v>
      </c>
      <c r="H2" s="5" t="n">
        <v>68</v>
      </c>
      <c r="I2" s="5" t="n">
        <v>72</v>
      </c>
      <c r="J2" s="5" t="s">
        <v>300</v>
      </c>
      <c r="K2" s="5" t="n">
        <v>5.74</v>
      </c>
      <c r="L2" s="5" t="n">
        <v>0</v>
      </c>
      <c r="M2" s="5" t="s">
        <v>301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</sheetData>
  <autoFilter ref="A1:M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4"/>
    <col collapsed="false" customWidth="true" hidden="false" outlineLevel="0" max="9" min="9" style="0" width="17"/>
    <col collapsed="false" customWidth="true" hidden="false" outlineLevel="0" max="10" min="10" style="0" width="12"/>
    <col collapsed="false" customWidth="true" hidden="false" outlineLevel="0" max="11" min="11" style="0" width="21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302</v>
      </c>
      <c r="E1" s="4" t="s">
        <v>303</v>
      </c>
      <c r="F1" s="4" t="s">
        <v>304</v>
      </c>
      <c r="G1" s="4" t="s">
        <v>305</v>
      </c>
      <c r="H1" s="4" t="s">
        <v>306</v>
      </c>
      <c r="I1" s="4" t="s">
        <v>307</v>
      </c>
      <c r="J1" s="4" t="s">
        <v>129</v>
      </c>
      <c r="K1" s="4" t="s">
        <v>308</v>
      </c>
      <c r="L1" s="4" t="s">
        <v>55</v>
      </c>
    </row>
    <row r="2" customFormat="false" ht="35.0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14.2</v>
      </c>
      <c r="E2" s="5" t="n">
        <v>102.4</v>
      </c>
      <c r="F2" s="5" t="n">
        <v>128.9</v>
      </c>
      <c r="G2" s="5" t="n">
        <v>88.5</v>
      </c>
      <c r="H2" s="5" t="n">
        <v>13.9</v>
      </c>
      <c r="I2" s="5" t="n">
        <f aca="false">IFERROR(E2*J2/3600,"")</f>
        <v>0.224995555555556</v>
      </c>
      <c r="J2" s="5" t="n">
        <v>7.91</v>
      </c>
      <c r="K2" s="5" t="n">
        <f aca="false">I2</f>
        <v>0.224995555555556</v>
      </c>
      <c r="L2" s="5" t="s">
        <v>309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7"/>
    <col collapsed="false" customWidth="true" hidden="false" outlineLevel="0" max="6" min="6" style="0" width="21"/>
    <col collapsed="false" customWidth="true" hidden="false" outlineLevel="0" max="7" min="7" style="0" width="18"/>
    <col collapsed="false" customWidth="true" hidden="false" outlineLevel="0" max="8" min="8" style="0" width="17"/>
    <col collapsed="false" customWidth="true" hidden="false" outlineLevel="0" max="9" min="9" style="0" width="22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143</v>
      </c>
      <c r="E1" s="4" t="s">
        <v>307</v>
      </c>
      <c r="F1" s="4" t="s">
        <v>310</v>
      </c>
      <c r="G1" s="4" t="s">
        <v>303</v>
      </c>
      <c r="H1" s="4" t="s">
        <v>150</v>
      </c>
      <c r="I1" s="4" t="s">
        <v>311</v>
      </c>
      <c r="J1" s="4" t="s">
        <v>312</v>
      </c>
      <c r="K1" s="4" t="s">
        <v>313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256</v>
      </c>
      <c r="E2" s="5" t="n">
        <v>0.225</v>
      </c>
      <c r="F2" s="5" t="n">
        <f aca="false">IFERROR(E2/D2,"")</f>
        <v>0.00087890625</v>
      </c>
      <c r="G2" s="5" t="n">
        <v>102.4</v>
      </c>
      <c r="H2" s="5" t="n">
        <v>34.6</v>
      </c>
      <c r="I2" s="5" t="n">
        <f aca="false">IFERROR(D2/E2,"")</f>
        <v>1137.77777777778</v>
      </c>
      <c r="J2" s="5" t="n">
        <v>0.00142</v>
      </c>
      <c r="K2" s="7" t="n">
        <f aca="false">IFERROR((J2-F2)/J2,"")</f>
        <v>0.381051936619718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1"/>
    <col collapsed="false" customWidth="true" hidden="false" outlineLevel="0" max="7" min="7" style="0" width="18"/>
    <col collapsed="false" customWidth="true" hidden="false" outlineLevel="0" max="9" min="8" style="0" width="21"/>
    <col collapsed="false" customWidth="true" hidden="false" outlineLevel="0" max="10" min="10" style="0" width="18"/>
    <col collapsed="false" customWidth="true" hidden="false" outlineLevel="0" max="11" min="11" style="0" width="23"/>
    <col collapsed="false" customWidth="true" hidden="false" outlineLevel="0" max="12" min="12" style="0" width="18"/>
    <col collapsed="false" customWidth="true" hidden="false" outlineLevel="0" max="13" min="13" style="0" width="16"/>
    <col collapsed="false" customWidth="true" hidden="false" outlineLevel="0" max="14" min="14" style="0" width="23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314</v>
      </c>
      <c r="E1" s="4" t="s">
        <v>315</v>
      </c>
      <c r="F1" s="4" t="s">
        <v>316</v>
      </c>
      <c r="G1" s="4" t="s">
        <v>317</v>
      </c>
      <c r="H1" s="4" t="s">
        <v>318</v>
      </c>
      <c r="I1" s="4" t="s">
        <v>319</v>
      </c>
      <c r="J1" s="4" t="s">
        <v>320</v>
      </c>
      <c r="K1" s="4" t="s">
        <v>321</v>
      </c>
      <c r="L1" s="4" t="s">
        <v>322</v>
      </c>
      <c r="M1" s="4" t="s">
        <v>323</v>
      </c>
      <c r="N1" s="4" t="s">
        <v>324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600</v>
      </c>
      <c r="E2" s="5" t="n">
        <v>44</v>
      </c>
      <c r="F2" s="5" t="n">
        <v>70</v>
      </c>
      <c r="G2" s="5" t="n">
        <v>79</v>
      </c>
      <c r="H2" s="5" t="n">
        <v>41</v>
      </c>
      <c r="I2" s="5" t="n">
        <v>66</v>
      </c>
      <c r="J2" s="5" t="n">
        <v>74</v>
      </c>
      <c r="K2" s="5" t="s">
        <v>112</v>
      </c>
      <c r="L2" s="5" t="n">
        <v>34.6</v>
      </c>
      <c r="M2" s="5" t="n">
        <v>32.9</v>
      </c>
      <c r="N2" s="7" t="n">
        <f aca="false">IFERROR((L2-M2)/L2,"")</f>
        <v>0.0491329479768787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</sheetData>
  <autoFilter ref="A1:N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23"/>
    <col collapsed="false" customWidth="true" hidden="false" outlineLevel="0" max="8" min="8" style="0" width="15"/>
    <col collapsed="false" customWidth="true" hidden="false" outlineLevel="0" max="9" min="9" style="0" width="22"/>
    <col collapsed="false" customWidth="true" hidden="false" outlineLevel="0" max="10" min="10" style="0" width="28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207</v>
      </c>
      <c r="E1" s="4" t="s">
        <v>209</v>
      </c>
      <c r="F1" s="4" t="s">
        <v>146</v>
      </c>
      <c r="G1" s="4" t="s">
        <v>173</v>
      </c>
      <c r="H1" s="4" t="s">
        <v>145</v>
      </c>
      <c r="I1" s="4" t="s">
        <v>261</v>
      </c>
      <c r="J1" s="4" t="s">
        <v>325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7" t="n">
        <v>0.668</v>
      </c>
      <c r="E2" s="5" t="n">
        <v>0.014</v>
      </c>
      <c r="F2" s="5" t="n">
        <v>6.81</v>
      </c>
      <c r="G2" s="7" t="n">
        <v>0.6086</v>
      </c>
      <c r="H2" s="5" t="n">
        <v>5.74</v>
      </c>
      <c r="I2" s="7" t="n">
        <v>0.9795</v>
      </c>
      <c r="J2" s="5" t="n">
        <f aca="false">IFERROR(I2/F2,"")</f>
        <v>0.143832599118943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26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207</v>
      </c>
      <c r="E1" s="4" t="s">
        <v>209</v>
      </c>
      <c r="F1" s="4" t="s">
        <v>148</v>
      </c>
      <c r="G1" s="4" t="s">
        <v>150</v>
      </c>
      <c r="H1" s="4" t="s">
        <v>151</v>
      </c>
      <c r="I1" s="4" t="s">
        <v>261</v>
      </c>
      <c r="J1" s="4" t="s">
        <v>186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7" t="n">
        <v>0.668</v>
      </c>
      <c r="E2" s="5" t="n">
        <v>0.014</v>
      </c>
      <c r="F2" s="5" t="n">
        <v>0.51</v>
      </c>
      <c r="G2" s="5" t="n">
        <v>34.6</v>
      </c>
      <c r="H2" s="5" t="n">
        <v>7.91</v>
      </c>
      <c r="I2" s="7" t="n">
        <v>0.9795</v>
      </c>
      <c r="J2" s="7" t="n">
        <v>0.321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22"/>
    <col collapsed="false" customWidth="true" hidden="false" outlineLevel="0" max="9" min="8" style="0" width="21"/>
    <col collapsed="false" customWidth="true" hidden="false" outlineLevel="0" max="10" min="10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326</v>
      </c>
      <c r="E1" s="4" t="s">
        <v>261</v>
      </c>
      <c r="F1" s="4" t="s">
        <v>327</v>
      </c>
      <c r="G1" s="4" t="s">
        <v>328</v>
      </c>
      <c r="H1" s="4" t="s">
        <v>329</v>
      </c>
      <c r="I1" s="4" t="s">
        <v>330</v>
      </c>
      <c r="J1" s="4" t="s">
        <v>331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0.668</v>
      </c>
      <c r="E2" s="7" t="n">
        <v>0.9795</v>
      </c>
      <c r="F2" s="7" t="n">
        <v>0.6086</v>
      </c>
      <c r="G2" s="7" t="n">
        <v>0.5175</v>
      </c>
      <c r="H2" s="7" t="n">
        <v>0.3804</v>
      </c>
      <c r="I2" s="5" t="n">
        <f aca="false">IFERROR(E2*(1+F2+G2+H2)/3,"")</f>
        <v>0.81837225</v>
      </c>
      <c r="J2" s="5" t="n">
        <v>1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9" min="9" style="0" width="15"/>
    <col collapsed="false" customWidth="true" hidden="false" outlineLevel="0" max="10" min="10" style="0" width="20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280</v>
      </c>
      <c r="E1" s="4" t="s">
        <v>332</v>
      </c>
      <c r="F1" s="4" t="s">
        <v>333</v>
      </c>
      <c r="G1" s="4" t="s">
        <v>25</v>
      </c>
      <c r="H1" s="4" t="s">
        <v>334</v>
      </c>
      <c r="I1" s="4" t="s">
        <v>335</v>
      </c>
      <c r="J1" s="4" t="s">
        <v>336</v>
      </c>
      <c r="K1" s="4" t="s">
        <v>337</v>
      </c>
      <c r="L1" s="4" t="s">
        <v>55</v>
      </c>
    </row>
    <row r="2" customFormat="false" ht="57.4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0.668</v>
      </c>
      <c r="E2" s="5" t="n">
        <v>6.81</v>
      </c>
      <c r="F2" s="5" t="n">
        <v>7.91</v>
      </c>
      <c r="G2" s="5" t="n">
        <v>0.225</v>
      </c>
      <c r="H2" s="5" t="n">
        <v>34.6</v>
      </c>
      <c r="I2" s="5" t="s">
        <v>112</v>
      </c>
      <c r="J2" s="5" t="s">
        <v>111</v>
      </c>
      <c r="K2" s="5" t="n">
        <v>1</v>
      </c>
      <c r="L2" s="5" t="s">
        <v>338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22"/>
    <col collapsed="false" customWidth="true" hidden="false" outlineLevel="0" max="5" min="5" style="0" width="15"/>
    <col collapsed="false" customWidth="true" hidden="false" outlineLevel="0" max="7" min="6" style="0" width="12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20"/>
    <col collapsed="false" customWidth="true" hidden="false" outlineLevel="0" max="15" min="15" style="0" width="18"/>
    <col collapsed="false" customWidth="true" hidden="false" outlineLevel="0" max="16" min="16" style="0" width="13"/>
    <col collapsed="false" customWidth="true" hidden="false" outlineLevel="0" max="17" min="17" style="0" width="18"/>
    <col collapsed="false" customWidth="true" hidden="false" outlineLevel="0" max="18" min="18" style="0" width="16"/>
    <col collapsed="false" customWidth="true" hidden="false" outlineLevel="0" max="19" min="19" style="0" width="12"/>
  </cols>
  <sheetData>
    <row r="1" customFormat="false" ht="33.75" hidden="false" customHeight="true" outlineLevel="0" collapsed="false">
      <c r="A1" s="4" t="s">
        <v>12</v>
      </c>
      <c r="B1" s="4" t="s">
        <v>130</v>
      </c>
      <c r="C1" s="4" t="s">
        <v>339</v>
      </c>
      <c r="D1" s="4" t="s">
        <v>340</v>
      </c>
      <c r="E1" s="4" t="s">
        <v>341</v>
      </c>
      <c r="F1" s="4" t="s">
        <v>120</v>
      </c>
      <c r="G1" s="4" t="s">
        <v>91</v>
      </c>
      <c r="H1" s="4" t="s">
        <v>342</v>
      </c>
      <c r="I1" s="4" t="s">
        <v>194</v>
      </c>
      <c r="J1" s="4" t="s">
        <v>343</v>
      </c>
      <c r="K1" s="4" t="s">
        <v>344</v>
      </c>
      <c r="L1" s="4" t="s">
        <v>345</v>
      </c>
      <c r="M1" s="4" t="s">
        <v>346</v>
      </c>
      <c r="N1" s="4" t="s">
        <v>347</v>
      </c>
      <c r="O1" s="4" t="s">
        <v>348</v>
      </c>
      <c r="P1" s="4" t="s">
        <v>349</v>
      </c>
      <c r="Q1" s="4" t="s">
        <v>350</v>
      </c>
      <c r="R1" s="4" t="s">
        <v>351</v>
      </c>
      <c r="S1" s="4" t="s">
        <v>352</v>
      </c>
    </row>
    <row r="2" customFormat="false" ht="35.05" hidden="false" customHeight="false" outlineLevel="0" collapsed="false">
      <c r="A2" s="5" t="s">
        <v>132</v>
      </c>
      <c r="B2" s="5" t="s">
        <v>81</v>
      </c>
      <c r="C2" s="5" t="s">
        <v>353</v>
      </c>
      <c r="D2" s="5" t="s">
        <v>354</v>
      </c>
      <c r="E2" s="5" t="s">
        <v>355</v>
      </c>
      <c r="F2" s="5" t="s">
        <v>56</v>
      </c>
      <c r="G2" s="5" t="s">
        <v>108</v>
      </c>
      <c r="H2" s="5" t="s">
        <v>356</v>
      </c>
      <c r="I2" s="5" t="s">
        <v>357</v>
      </c>
      <c r="J2" s="5" t="s">
        <v>358</v>
      </c>
      <c r="K2" s="5" t="s">
        <v>359</v>
      </c>
      <c r="L2" s="5" t="s">
        <v>360</v>
      </c>
      <c r="M2" s="5" t="s">
        <v>361</v>
      </c>
      <c r="N2" s="5" t="s">
        <v>362</v>
      </c>
      <c r="O2" s="5" t="s">
        <v>363</v>
      </c>
      <c r="P2" s="5" t="s">
        <v>112</v>
      </c>
      <c r="Q2" s="5" t="s">
        <v>178</v>
      </c>
      <c r="R2" s="5" t="s">
        <v>364</v>
      </c>
      <c r="S2" s="5" t="s">
        <v>365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</row>
  </sheetData>
  <autoFilter ref="A1:S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7" min="5" style="0" width="12"/>
    <col collapsed="false" customWidth="true" hidden="false" outlineLevel="0" max="8" min="8" style="0" width="18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7"/>
  </cols>
  <sheetData>
    <row r="1" customFormat="false" ht="33.75" hidden="false" customHeight="true" outlineLevel="0" collapsed="false">
      <c r="A1" s="4" t="s">
        <v>12</v>
      </c>
      <c r="B1" s="4" t="s">
        <v>91</v>
      </c>
      <c r="C1" s="4" t="s">
        <v>140</v>
      </c>
      <c r="D1" s="4" t="s">
        <v>145</v>
      </c>
      <c r="E1" s="4" t="s">
        <v>366</v>
      </c>
      <c r="F1" s="4" t="s">
        <v>367</v>
      </c>
      <c r="G1" s="4" t="s">
        <v>148</v>
      </c>
      <c r="H1" s="4" t="s">
        <v>149</v>
      </c>
      <c r="I1" s="4" t="s">
        <v>150</v>
      </c>
      <c r="J1" s="4" t="s">
        <v>152</v>
      </c>
      <c r="K1" s="4" t="s">
        <v>207</v>
      </c>
      <c r="L1" s="4" t="s">
        <v>368</v>
      </c>
      <c r="M1" s="4" t="s">
        <v>27</v>
      </c>
      <c r="N1" s="4" t="s">
        <v>369</v>
      </c>
    </row>
    <row r="2" customFormat="false" ht="15" hidden="false" customHeight="false" outlineLevel="0" collapsed="false">
      <c r="A2" s="5" t="s">
        <v>132</v>
      </c>
      <c r="B2" s="5" t="s">
        <v>108</v>
      </c>
      <c r="C2" s="5" t="s">
        <v>165</v>
      </c>
      <c r="D2" s="5" t="n">
        <v>5.74</v>
      </c>
      <c r="E2" s="5" t="n">
        <v>6.81</v>
      </c>
      <c r="F2" s="5" t="n">
        <v>3.1</v>
      </c>
      <c r="G2" s="5" t="n">
        <v>0.51</v>
      </c>
      <c r="H2" s="5" t="n">
        <v>1004</v>
      </c>
      <c r="I2" s="5" t="n">
        <v>34.6</v>
      </c>
      <c r="J2" s="5" t="n">
        <v>6.51</v>
      </c>
      <c r="K2" s="7" t="n">
        <v>0.668</v>
      </c>
      <c r="L2" s="5" t="n">
        <v>0.00088</v>
      </c>
      <c r="M2" s="5" t="n">
        <v>72</v>
      </c>
      <c r="N2" s="5" t="n">
        <v>1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</sheetData>
  <autoFilter ref="A1:N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6"/>
  </cols>
  <sheetData>
    <row r="1" customFormat="false" ht="33.75" hidden="false" customHeight="true" outlineLevel="0" collapsed="false">
      <c r="A1" s="4" t="s">
        <v>91</v>
      </c>
      <c r="B1" s="4" t="s">
        <v>97</v>
      </c>
      <c r="C1" s="4" t="s">
        <v>145</v>
      </c>
      <c r="D1" s="4" t="s">
        <v>332</v>
      </c>
      <c r="E1" s="4" t="s">
        <v>334</v>
      </c>
      <c r="F1" s="4" t="s">
        <v>152</v>
      </c>
      <c r="G1" s="4" t="s">
        <v>207</v>
      </c>
      <c r="H1" s="4" t="s">
        <v>25</v>
      </c>
      <c r="I1" s="4" t="s">
        <v>370</v>
      </c>
      <c r="J1" s="4" t="s">
        <v>371</v>
      </c>
    </row>
    <row r="2" customFormat="false" ht="46.25" hidden="false" customHeight="false" outlineLevel="0" collapsed="false">
      <c r="A2" s="5" t="s">
        <v>108</v>
      </c>
      <c r="B2" s="5" t="n">
        <v>4</v>
      </c>
      <c r="C2" s="5" t="n">
        <v>5.74</v>
      </c>
      <c r="D2" s="5" t="n">
        <v>6.81</v>
      </c>
      <c r="E2" s="5" t="n">
        <v>34.6</v>
      </c>
      <c r="F2" s="5" t="n">
        <v>6.51</v>
      </c>
      <c r="G2" s="7" t="n">
        <v>0.668</v>
      </c>
      <c r="H2" s="5" t="n">
        <v>0.00088</v>
      </c>
      <c r="I2" s="5" t="s">
        <v>372</v>
      </c>
      <c r="J2" s="5" t="s">
        <v>373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19"/>
    <col collapsed="false" customWidth="true" hidden="false" outlineLevel="0" max="7" min="7" style="0" width="20"/>
    <col collapsed="false" customWidth="true" hidden="false" outlineLevel="0" max="8" min="8" style="0" width="24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5"/>
    <col collapsed="false" customWidth="true" hidden="false" outlineLevel="0" max="12" min="12" style="0" width="18"/>
    <col collapsed="false" customWidth="true" hidden="false" outlineLevel="0" max="13" min="13" style="0" width="20"/>
  </cols>
  <sheetData>
    <row r="1" customFormat="false" ht="33.75" hidden="false" customHeight="true" outlineLevel="0" collapsed="false">
      <c r="A1" s="4" t="s">
        <v>374</v>
      </c>
      <c r="B1" s="4" t="s">
        <v>12</v>
      </c>
      <c r="C1" s="4" t="s">
        <v>346</v>
      </c>
      <c r="D1" s="4" t="s">
        <v>375</v>
      </c>
      <c r="E1" s="4" t="s">
        <v>376</v>
      </c>
      <c r="F1" s="4" t="s">
        <v>377</v>
      </c>
      <c r="G1" s="4" t="s">
        <v>378</v>
      </c>
      <c r="H1" s="4" t="s">
        <v>379</v>
      </c>
      <c r="I1" s="4" t="s">
        <v>380</v>
      </c>
      <c r="J1" s="4" t="s">
        <v>381</v>
      </c>
      <c r="K1" s="4" t="s">
        <v>382</v>
      </c>
      <c r="L1" s="4" t="s">
        <v>383</v>
      </c>
      <c r="M1" s="4" t="s">
        <v>384</v>
      </c>
    </row>
    <row r="2" customFormat="false" ht="57.45" hidden="false" customHeight="false" outlineLevel="0" collapsed="false">
      <c r="A2" s="5" t="s">
        <v>385</v>
      </c>
      <c r="B2" s="5" t="s">
        <v>132</v>
      </c>
      <c r="C2" s="5" t="s">
        <v>386</v>
      </c>
      <c r="D2" s="5" t="s">
        <v>152</v>
      </c>
      <c r="E2" s="5" t="s">
        <v>387</v>
      </c>
      <c r="F2" s="5" t="s">
        <v>388</v>
      </c>
      <c r="G2" s="5" t="s">
        <v>389</v>
      </c>
      <c r="H2" s="5" t="s">
        <v>390</v>
      </c>
      <c r="I2" s="5" t="s">
        <v>391</v>
      </c>
      <c r="J2" s="5" t="s">
        <v>392</v>
      </c>
      <c r="K2" s="5" t="s">
        <v>393</v>
      </c>
      <c r="L2" s="5" t="s">
        <v>394</v>
      </c>
      <c r="M2" s="5" t="s">
        <v>395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</sheetData>
  <autoFilter ref="A1:M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1"/>
    <col collapsed="false" customWidth="true" hidden="false" outlineLevel="0" max="4" min="3" style="0" width="15"/>
    <col collapsed="false" customWidth="true" hidden="false" outlineLevel="0" max="5" min="5" style="0" width="21"/>
    <col collapsed="false" customWidth="true" hidden="false" outlineLevel="0" max="6" min="6" style="0" width="20"/>
    <col collapsed="false" customWidth="true" hidden="false" outlineLevel="0" max="7" min="7" style="0" width="21"/>
    <col collapsed="false" customWidth="true" hidden="false" outlineLevel="0" max="8" min="8" style="0" width="19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19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4" t="s">
        <v>396</v>
      </c>
      <c r="B1" s="4" t="s">
        <v>397</v>
      </c>
      <c r="C1" s="4" t="s">
        <v>341</v>
      </c>
      <c r="D1" s="4" t="s">
        <v>398</v>
      </c>
      <c r="E1" s="4" t="s">
        <v>399</v>
      </c>
      <c r="F1" s="4" t="s">
        <v>400</v>
      </c>
      <c r="G1" s="4" t="s">
        <v>401</v>
      </c>
      <c r="H1" s="4" t="s">
        <v>402</v>
      </c>
      <c r="I1" s="4" t="s">
        <v>403</v>
      </c>
      <c r="J1" s="4" t="s">
        <v>404</v>
      </c>
      <c r="K1" s="4" t="s">
        <v>405</v>
      </c>
      <c r="L1" s="4" t="s">
        <v>352</v>
      </c>
    </row>
    <row r="2" customFormat="false" ht="57.45" hidden="false" customHeight="false" outlineLevel="0" collapsed="false">
      <c r="A2" s="5" t="s">
        <v>406</v>
      </c>
      <c r="B2" s="5" t="s">
        <v>407</v>
      </c>
      <c r="C2" s="5" t="s">
        <v>408</v>
      </c>
      <c r="D2" s="5" t="s">
        <v>385</v>
      </c>
      <c r="E2" s="5" t="s">
        <v>409</v>
      </c>
      <c r="F2" s="5" t="s">
        <v>410</v>
      </c>
      <c r="G2" s="5" t="s">
        <v>411</v>
      </c>
      <c r="H2" s="5" t="s">
        <v>412</v>
      </c>
      <c r="I2" s="5" t="s">
        <v>413</v>
      </c>
      <c r="J2" s="5" t="s">
        <v>414</v>
      </c>
      <c r="K2" s="5" t="s">
        <v>415</v>
      </c>
      <c r="L2" s="5" t="s">
        <v>416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12"/>
    <col collapsed="false" customWidth="true" hidden="false" outlineLevel="0" max="5" min="5" style="0" width="25"/>
    <col collapsed="false" customWidth="true" hidden="false" outlineLevel="0" max="7" min="6" style="0" width="12"/>
    <col collapsed="false" customWidth="true" hidden="false" outlineLevel="0" max="8" min="8" style="0" width="24"/>
    <col collapsed="false" customWidth="true" hidden="false" outlineLevel="0" max="10" min="9" style="0" width="22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5" min="13" style="0" width="12"/>
    <col collapsed="false" customWidth="true" hidden="false" outlineLevel="0" max="16" min="16" style="0" width="13"/>
    <col collapsed="false" customWidth="true" hidden="false" outlineLevel="0" max="17" min="17" style="0" width="16"/>
    <col collapsed="false" customWidth="true" hidden="false" outlineLevel="0" max="18" min="18" style="0" width="15"/>
    <col collapsed="false" customWidth="true" hidden="false" outlineLevel="0" max="19" min="19" style="0" width="17"/>
    <col collapsed="false" customWidth="true" hidden="false" outlineLevel="0" max="20" min="20" style="0" width="25"/>
    <col collapsed="false" customWidth="true" hidden="false" outlineLevel="0" max="21" min="21" style="0" width="14"/>
  </cols>
  <sheetData>
    <row r="1" customFormat="false" ht="33.75" hidden="false" customHeight="true" outlineLevel="0" collapsed="false">
      <c r="A1" s="4" t="s">
        <v>417</v>
      </c>
      <c r="B1" s="4" t="s">
        <v>418</v>
      </c>
      <c r="C1" s="4" t="s">
        <v>419</v>
      </c>
      <c r="D1" s="4" t="s">
        <v>106</v>
      </c>
      <c r="E1" s="4" t="s">
        <v>420</v>
      </c>
      <c r="F1" s="4" t="s">
        <v>91</v>
      </c>
      <c r="G1" s="4" t="s">
        <v>421</v>
      </c>
      <c r="H1" s="4" t="s">
        <v>379</v>
      </c>
      <c r="I1" s="4" t="s">
        <v>422</v>
      </c>
      <c r="J1" s="4" t="s">
        <v>423</v>
      </c>
      <c r="K1" s="4" t="s">
        <v>121</v>
      </c>
      <c r="L1" s="4" t="s">
        <v>122</v>
      </c>
      <c r="M1" s="4" t="s">
        <v>123</v>
      </c>
      <c r="N1" s="4" t="s">
        <v>120</v>
      </c>
      <c r="O1" s="4" t="s">
        <v>194</v>
      </c>
      <c r="P1" s="4" t="s">
        <v>343</v>
      </c>
      <c r="Q1" s="4" t="s">
        <v>424</v>
      </c>
      <c r="R1" s="4" t="s">
        <v>425</v>
      </c>
      <c r="S1" s="4" t="s">
        <v>381</v>
      </c>
      <c r="T1" s="4" t="s">
        <v>426</v>
      </c>
      <c r="U1" s="4" t="s">
        <v>427</v>
      </c>
    </row>
    <row r="2" customFormat="false" ht="68.65" hidden="false" customHeight="false" outlineLevel="0" collapsed="false">
      <c r="A2" s="5" t="s">
        <v>428</v>
      </c>
      <c r="B2" s="5" t="s">
        <v>429</v>
      </c>
      <c r="C2" s="5" t="s">
        <v>430</v>
      </c>
      <c r="D2" s="5" t="n">
        <v>2022</v>
      </c>
      <c r="E2" s="5" t="s">
        <v>431</v>
      </c>
      <c r="F2" s="5" t="s">
        <v>108</v>
      </c>
      <c r="G2" s="5" t="s">
        <v>432</v>
      </c>
      <c r="H2" s="5" t="s">
        <v>433</v>
      </c>
      <c r="I2" s="5" t="s">
        <v>434</v>
      </c>
      <c r="J2" s="5" t="s">
        <v>109</v>
      </c>
      <c r="K2" s="5" t="n">
        <v>4</v>
      </c>
      <c r="L2" s="5" t="n">
        <v>16</v>
      </c>
      <c r="M2" s="5" t="n">
        <v>16</v>
      </c>
      <c r="N2" s="5" t="s">
        <v>435</v>
      </c>
      <c r="O2" s="5" t="s">
        <v>436</v>
      </c>
      <c r="P2" s="5" t="s">
        <v>437</v>
      </c>
      <c r="Q2" s="5" t="s">
        <v>438</v>
      </c>
      <c r="R2" s="5" t="s">
        <v>439</v>
      </c>
      <c r="S2" s="5" t="s">
        <v>440</v>
      </c>
      <c r="T2" s="5" t="s">
        <v>441</v>
      </c>
      <c r="U2" s="5" t="s">
        <v>442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</row>
  </sheetData>
  <autoFilter ref="A1:U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15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17"/>
    <col collapsed="false" customWidth="true" hidden="false" outlineLevel="0" max="17" min="16" style="0" width="21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13"/>
  </cols>
  <sheetData>
    <row r="1" customFormat="false" ht="33.75" hidden="false" customHeight="true" outlineLevel="0" collapsed="false">
      <c r="A1" s="4" t="s">
        <v>120</v>
      </c>
      <c r="B1" s="4" t="s">
        <v>91</v>
      </c>
      <c r="C1" s="4" t="s">
        <v>140</v>
      </c>
      <c r="D1" s="4" t="s">
        <v>100</v>
      </c>
      <c r="E1" s="4" t="s">
        <v>145</v>
      </c>
      <c r="F1" s="4" t="s">
        <v>443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150</v>
      </c>
      <c r="L1" s="4" t="s">
        <v>152</v>
      </c>
      <c r="M1" s="4" t="s">
        <v>444</v>
      </c>
      <c r="N1" s="4" t="s">
        <v>261</v>
      </c>
      <c r="O1" s="4" t="s">
        <v>368</v>
      </c>
      <c r="P1" s="4" t="s">
        <v>445</v>
      </c>
      <c r="Q1" s="4" t="s">
        <v>327</v>
      </c>
      <c r="R1" s="4" t="s">
        <v>446</v>
      </c>
      <c r="S1" s="4" t="s">
        <v>262</v>
      </c>
      <c r="T1" s="4" t="s">
        <v>331</v>
      </c>
      <c r="U1" s="4" t="s">
        <v>447</v>
      </c>
    </row>
    <row r="2" customFormat="false" ht="57.45" hidden="false" customHeight="false" outlineLevel="0" collapsed="false">
      <c r="A2" s="5" t="s">
        <v>57</v>
      </c>
      <c r="B2" s="5" t="s">
        <v>108</v>
      </c>
      <c r="C2" s="5" t="s">
        <v>165</v>
      </c>
      <c r="D2" s="5" t="n">
        <v>128</v>
      </c>
      <c r="E2" s="5" t="n">
        <v>5.74</v>
      </c>
      <c r="F2" s="7" t="n">
        <f aca="false">IFERROR(16.06/E2,"")</f>
        <v>2.79790940766551</v>
      </c>
      <c r="G2" s="5" t="n">
        <v>6.81</v>
      </c>
      <c r="H2" s="5" t="n">
        <v>3.1</v>
      </c>
      <c r="I2" s="5" t="n">
        <v>0.51</v>
      </c>
      <c r="J2" s="5" t="n">
        <v>1004</v>
      </c>
      <c r="K2" s="5" t="n">
        <v>34.6</v>
      </c>
      <c r="L2" s="5" t="n">
        <v>6.51</v>
      </c>
      <c r="M2" s="7" t="n">
        <v>0.668</v>
      </c>
      <c r="N2" s="7" t="n">
        <v>0.9795</v>
      </c>
      <c r="O2" s="5" t="n">
        <v>0.00088</v>
      </c>
      <c r="P2" s="5" t="n">
        <v>79</v>
      </c>
      <c r="Q2" s="7" t="n">
        <v>0.6086</v>
      </c>
      <c r="R2" s="5" t="n">
        <v>1.52</v>
      </c>
      <c r="S2" s="5" t="n">
        <v>0.88</v>
      </c>
      <c r="T2" s="5" t="n">
        <v>1</v>
      </c>
      <c r="U2" s="5" t="s">
        <v>448</v>
      </c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</row>
  </sheetData>
  <autoFilter ref="A1:U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2026-09-15T14:23:18Z</dcterms:created>
  <dc:creator>openpyxl</dc:creator>
  <dc:description/>
  <dc:language>en-US</dc:language>
  <cp:lastModifiedBy/>
  <dcterms:modified xsi:type="dcterms:W3CDTF">2026-09-15T14:23:19Z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